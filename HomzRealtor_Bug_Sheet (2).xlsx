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Bug Log" sheetId="3" state="visible" r:id="rId5"/>
    <sheet name="Visual QA Checklist" sheetId="4" state="visible" r:id="rId6"/>
    <sheet name="Test Environment" sheetId="5" state="visible" r:id="rId7"/>
  </sheets>
  <definedNames>
    <definedName function="false" hidden="true" localSheetId="2" name="_xlnm._FilterDatabase" vbProcedure="false">'Bug Log'!$A$1:$O$68</definedName>
    <definedName function="false" hidden="true" localSheetId="3" name="_xlnm._FilterDatabase" vbProcedure="false">'Visual QA Checklist'!$A$2:$J$27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<sst xmlns="http://schemas.openxmlformats.org/spreadsheetml/2006/main" count="1321" uniqueCount="824">
  <si>
    <t xml:space="preserve">QA BUG SHEET — HomzRealtor</t>
  </si>
  <si>
    <t xml:space="preserve">Homepage + M3M Route 65 Project Detail Page</t>
  </si>
  <si>
    <t xml:space="preserve">Scope</t>
  </si>
  <si>
    <t xml:space="preserve">URL 1 (Homepage): https://www.homzrealtor.com/</t>
  </si>
  <si>
    <t xml:space="preserve">URL 2 (Project Detail): https://www.homzrealtor.com/project-listing/ggn/m3m-route-65</t>
  </si>
  <si>
    <t xml:space="preserve">Date raised: 27 July 2026</t>
  </si>
  <si>
    <t xml:space="preserve">How this sheet was produced — read this first</t>
  </si>
  <si>
    <t xml:space="preserve">The live DOM, rendered content and &lt;head&gt; of both pages were fetched and parsed directly.</t>
  </si>
  <si>
    <t xml:space="preserve">Everything in the 'Bug Log' tab is evidence-backed against the live pages — the 'Evidence /</t>
  </si>
  <si>
    <t xml:space="preserve">Reference' column names exactly what was observed. Nothing in that tab is speculative.</t>
  </si>
  <si>
    <t xml:space="preserve">What could NOT be verified: pixel-level rendering. Colour contrast ratios, tap-target sizes,</t>
  </si>
  <si>
    <t xml:space="preserve">element overlap, z-index stacking and horizontal overflow require a real browser on a real</t>
  </si>
  <si>
    <t xml:space="preserve">device. Those live in the 'Visual QA Checklist' tab as structured checks with precise expected</t>
  </si>
  <si>
    <t xml:space="preserve">results, so your tester can execute them in one pass and file findings straight back here.</t>
  </si>
  <si>
    <t xml:space="preserve">A small number of Bug Log entries are marked 'needs verification' in the Actual Result column.</t>
  </si>
  <si>
    <t xml:space="preserve">These are cases where the DOM shows a non-anchor control among anchor siblings — a strong</t>
  </si>
  <si>
    <t xml:space="preserve">signal of a dead CTA, but one that must be clicked to confirm. They are flagged, not asserted.</t>
  </si>
  <si>
    <t xml:space="preserve">Severity definitions</t>
  </si>
  <si>
    <t xml:space="preserve">S1 — Critical: Blocks a core user journey, corrupts data shown to the user, or breaks page structure.</t>
  </si>
  <si>
    <t xml:space="preserve">S2 — High: Significant functional, content-integrity, compliance or conversion impact. Fix this sprint.</t>
  </si>
  <si>
    <t xml:space="preserve">S3 — Medium: Noticeable defect with a workaround, or a quality/consistency issue.</t>
  </si>
  <si>
    <t xml:space="preserve">S4 — Low: Polish, copy and consistency. Batch these.</t>
  </si>
  <si>
    <t xml:space="preserve">Priority definitions</t>
  </si>
  <si>
    <t xml:space="preserve">P1 — Fix before the next release.</t>
  </si>
  <si>
    <t xml:space="preserve">P2 — Fix within the current sprint.</t>
  </si>
  <si>
    <t xml:space="preserve">P3 — Backlog.</t>
  </si>
  <si>
    <t xml:space="preserve">Suggested fix order</t>
  </si>
  <si>
    <t xml:space="preserve">1. HR-PL-001 — footer rendering mid-page. Structural; likely the root cause of HR-PL-004 too.</t>
  </si>
  <si>
    <t xml:space="preserve">2. HR-PL-002 — contradictory 61 vs 90 score. Single most damaging trust defect on the site.</t>
  </si>
  <si>
    <t xml:space="preserve">3. HR-HP-001 / HR-HP-002 / HR-HP-003 — dead footer nav, empty Featured section, non-functional search.</t>
  </si>
  <si>
    <t xml:space="preserve">4. HR-PL-003 — /ggn/ vs /gurgaon/ canonical split. Compounding SEO damage every day it ships.</t>
  </si>
  <si>
    <t xml:space="preserve">5. HR-HP-010 / HR-HP-011 — duplicated testimonial copy and dummy avatars. One hour of content work.</t>
  </si>
  <si>
    <t xml:space="preserve">6. Everything else by Priority.</t>
  </si>
  <si>
    <t xml:space="preserve">Status values to use</t>
  </si>
  <si>
    <t xml:space="preserve">Open / In Progress / Fixed / Verified / Won't Fix / Duplicate / Cannot Reproduce</t>
  </si>
  <si>
    <t xml:space="preserve">SUMMARY</t>
  </si>
  <si>
    <t xml:space="preserve">By severity</t>
  </si>
  <si>
    <t xml:space="preserve">Severity</t>
  </si>
  <si>
    <t xml:space="preserve">Homepage</t>
  </si>
  <si>
    <t xml:space="preserve">Project Page</t>
  </si>
  <si>
    <t xml:space="preserve">Both / Global</t>
  </si>
  <si>
    <t xml:space="preserve">Total</t>
  </si>
  <si>
    <t xml:space="preserve">S1 - Critical</t>
  </si>
  <si>
    <t xml:space="preserve">S2 - High</t>
  </si>
  <si>
    <t xml:space="preserve">S3 - Medium</t>
  </si>
  <si>
    <t xml:space="preserve">S4 - Low</t>
  </si>
  <si>
    <t xml:space="preserve">TOTAL</t>
  </si>
  <si>
    <t xml:space="preserve">By priority</t>
  </si>
  <si>
    <t xml:space="preserve">Priority</t>
  </si>
  <si>
    <t xml:space="preserve">Count</t>
  </si>
  <si>
    <t xml:space="preserve">P1</t>
  </si>
  <si>
    <t xml:space="preserve">P2</t>
  </si>
  <si>
    <t xml:space="preserve">P3</t>
  </si>
  <si>
    <t xml:space="preserve">By type</t>
  </si>
  <si>
    <t xml:space="preserve">Type keyword</t>
  </si>
  <si>
    <t xml:space="preserve">Functional</t>
  </si>
  <si>
    <t xml:space="preserve">UI</t>
  </si>
  <si>
    <t xml:space="preserve">Content</t>
  </si>
  <si>
    <t xml:space="preserve">SEO</t>
  </si>
  <si>
    <t xml:space="preserve">Accessibility</t>
  </si>
  <si>
    <t xml:space="preserve">Data</t>
  </si>
  <si>
    <t xml:space="preserve">Performance</t>
  </si>
  <si>
    <t xml:space="preserve">Compliance</t>
  </si>
  <si>
    <t xml:space="preserve">Structural</t>
  </si>
  <si>
    <t xml:space="preserve">Note: a bug can carry more than one type keyword, so this column sums to more than the bug total.</t>
  </si>
  <si>
    <t xml:space="preserve">Status tracker</t>
  </si>
  <si>
    <t xml:space="preserve">Status</t>
  </si>
  <si>
    <t xml:space="preserve">Bug Log</t>
  </si>
  <si>
    <t xml:space="preserve">Visual Checks</t>
  </si>
  <si>
    <t xml:space="preserve">Open</t>
  </si>
  <si>
    <t xml:space="preserve">In Progress</t>
  </si>
  <si>
    <t xml:space="preserve">Fixed</t>
  </si>
  <si>
    <t xml:space="preserve">Verified</t>
  </si>
  <si>
    <t xml:space="preserve">Won't Fix</t>
  </si>
  <si>
    <t xml:space="preserve">Bug ID</t>
  </si>
  <si>
    <t xml:space="preserve">Page</t>
  </si>
  <si>
    <t xml:space="preserve">Section / Component</t>
  </si>
  <si>
    <t xml:space="preserve">Bug Title</t>
  </si>
  <si>
    <t xml:space="preserve">Type</t>
  </si>
  <si>
    <t xml:space="preserve">Affected Viewport</t>
  </si>
  <si>
    <t xml:space="preserve">Steps to Reproduce</t>
  </si>
  <si>
    <t xml:space="preserve">Actual Result</t>
  </si>
  <si>
    <t xml:space="preserve">Expected Result</t>
  </si>
  <si>
    <t xml:space="preserve">Evidence / Reference</t>
  </si>
  <si>
    <t xml:space="preserve">Owner</t>
  </si>
  <si>
    <t xml:space="preserve">Notes</t>
  </si>
  <si>
    <t xml:space="preserve">HR-HP-001</t>
  </si>
  <si>
    <t xml:space="preserve">Homepage — homzrealtor.com/</t>
  </si>
  <si>
    <t xml:space="preserve">Footer — bottom nav</t>
  </si>
  <si>
    <t xml:space="preserve">All four footer navigation links are dead (href="#")</t>
  </si>
  <si>
    <t xml:space="preserve">Functional / Broken link</t>
  </si>
  <si>
    <t xml:space="preserve">Mobile + Desktop</t>
  </si>
  <si>
    <t xml:space="preserve">1. Load homepage
2. Scroll to the bottom footer block (logo + description + link list)
3. Click 'Home'
4. Repeat for 'Projects', 'Developers', 'Contact'</t>
  </si>
  <si>
    <t xml:space="preserve">Nothing happens. All four links resolve to href="#" — the page jumps to top instead of navigating. 'Contact' has no destination page at all.</t>
  </si>
  <si>
    <t xml:space="preserve">Each link navigates: Home -&gt; /, Projects -&gt; /project-listing, Developers -&gt; /developer, Contact -&gt; a real contact page or #consult anchor.</t>
  </si>
  <si>
    <t xml:space="preserve">Live DOM: &lt;a href="#"&gt;Home&lt;/a&gt;, &lt;a href="#"&gt;Projects&lt;/a&gt;, &lt;a href="#"&gt;Developers&lt;/a&gt;, &lt;a href="#"&gt;Contact&lt;/a&gt;. Present on BOTH pages — global footer component.</t>
  </si>
  <si>
    <t xml:space="preserve">Frontend Dev</t>
  </si>
  <si>
    <t xml:space="preserve">HR-HP-002</t>
  </si>
  <si>
    <t xml:space="preserve">Featured Projects in Gurgaon</t>
  </si>
  <si>
    <t xml:space="preserve">Headline section renders zero project cards</t>
  </si>
  <si>
    <t xml:space="preserve">Functional / Empty state</t>
  </si>
  <si>
    <t xml:space="preserve">1. Load homepage
2. Scroll to 'Handpicked for you — Featured Projects in Gurgaon'
3. Observe the area below the city filter tabs (all / gurgaon / delhi / faridabad / greaternoida / noida)</t>
  </si>
  <si>
    <t xml:space="preserve">The city filter tabs render, but no project cards appear underneath. The section is empty. 'Latest Launches' directly below DOES render cards, so this is specific to Featured Projects.</t>
  </si>
  <si>
    <t xml:space="preserve">Featured project cards render for the default 'all' tab, and the tab filter re-queries correctly. If genuinely no data exists, show a designed empty state — never a blank section under a live heading.</t>
  </si>
  <si>
    <t xml:space="preserve">Live DOM: filter tabs present, card container empty. Compare to 'Latest Launches' which renders 5 cards.</t>
  </si>
  <si>
    <t xml:space="preserve">Frontend Dev / Backend</t>
  </si>
  <si>
    <t xml:space="preserve">HR-HP-003</t>
  </si>
  <si>
    <t xml:space="preserve">Hero — property search bar</t>
  </si>
  <si>
    <t xml:space="preserve">Search filters are decorative — selections are not passed to results</t>
  </si>
  <si>
    <t xml:space="preserve">Functional / Core flow</t>
  </si>
  <si>
    <t xml:space="preserve">1. Load homepage
2. In the hero, select tab 'Commercial'
3. Set Property Type = 'Office Space', Budget = '₹1 Cr – ₹2 Cr', BHK = '3 BHK'
4. Click 'Search'</t>
  </si>
  <si>
    <t xml:space="preserve">Verify destination URL. Evidence strongly suggests the search routes to a bare /project-listing with no query string, so every filter the user set is discarded and they see the full unfiltered catalogue.</t>
  </si>
  <si>
    <t xml:space="preserve">Search should route to /project-listing?type=commercial&amp;subtype=office-space&amp;budgetMin=10000000&amp;budgetMax=20000000&amp;bhk=3 (or equivalent) with filters pre-applied and reflected in the results UI.</t>
  </si>
  <si>
    <t xml:space="preserve">All sibling shortcut chips (Trending, Popular Searches, Collections) hard-code the same param-less /project-listing URL, indicating the listing page has no filter-by-query capability wired up.</t>
  </si>
  <si>
    <t xml:space="preserve">HR-HP-004</t>
  </si>
  <si>
    <t xml:space="preserve">Hero — Trending chips</t>
  </si>
  <si>
    <t xml:space="preserve">All 5 'Trending' chips point to the same unfiltered URL</t>
  </si>
  <si>
    <t xml:space="preserve">1. Load homepage
2. Click 'Sector 65'
3. Go back, click 'Golf Course Road'
4. Repeat for 'Ready to move' and 'Under ₹1 Cr'</t>
  </si>
  <si>
    <t xml:space="preserve">4 of 5 chips resolve to the identical URL /project-listing with no filter applied. A user clicking 'Under ₹1 Cr' lands on a list containing ₹9.90 Cr properties. Only 'Commercial spaces' has its own destination (/commercial).</t>
  </si>
  <si>
    <t xml:space="preserve">Each chip carries its own filter parameter and lands on a pre-filtered result set matching the chip label.</t>
  </si>
  <si>
    <t xml:space="preserve">Live DOM: 'Sector 65', 'Golf Course Road', 'Ready to move', 'Under ₹1 Cr' all -&gt; https://www.homzrealtor.com/project-listing</t>
  </si>
  <si>
    <t xml:space="preserve">HR-HP-005</t>
  </si>
  <si>
    <t xml:space="preserve">Collections</t>
  </si>
  <si>
    <t xml:space="preserve">All 5 collection tiles link to the same unfiltered listing page</t>
  </si>
  <si>
    <t xml:space="preserve">1. Scroll to 'Curated for every lifestyle — Collections'
2. Click 'Ready to Move (32 properties)'
3. Go back and click 'Under Construction (27 properties)'
4. Repeat for the remaining tiles</t>
  </si>
  <si>
    <t xml:space="preserve">All five tiles land on the identical /project-listing page. The tiles advertise specific counts (32, 27, 9, 21 properties) but deliver the same undifferentiated list — the counts are unverifiable and likely hardcoded.</t>
  </si>
  <si>
    <t xml:space="preserve">Each collection routes to a filtered view whose result count matches the number promised on the tile. Counts should be driven by the same query, not hardcoded.</t>
  </si>
  <si>
    <t xml:space="preserve">Live DOM: 5 identical hrefs -&gt; /project-listing</t>
  </si>
  <si>
    <t xml:space="preserve">HR-HP-006</t>
  </si>
  <si>
    <t xml:space="preserve">Popular Searches</t>
  </si>
  <si>
    <t xml:space="preserve">All 12 popular-search chips link to the same unfiltered URL</t>
  </si>
  <si>
    <t xml:space="preserve">Functional / SEO</t>
  </si>
  <si>
    <t xml:space="preserve">1. Scroll to 'Trending searches — Popular Searches'
2. Click any chip, e.g. '2 BHK in Sector 57'
3. Repeat across several chips</t>
  </si>
  <si>
    <t xml:space="preserve">All 12 chips resolve to /project-listing. This is a dead internal-linking block: it consumes crawl budget, dilutes link equity and delivers a poor user experience.</t>
  </si>
  <si>
    <t xml:space="preserve">Each chip maps to a real filtered/landing URL. If those pages don't exist yet, the block should be removed until they do.</t>
  </si>
  <si>
    <t xml:space="preserve">Live DOM: 12 identical hrefs -&gt; /project-listing</t>
  </si>
  <si>
    <t xml:space="preserve">Frontend Dev / SEO</t>
  </si>
  <si>
    <t xml:space="preserve">HR-HP-007</t>
  </si>
  <si>
    <t xml:space="preserve">Bottom CTA band</t>
  </si>
  <si>
    <t xml:space="preserve">Raw WhatsApp URL is printed on screen as visible link text</t>
  </si>
  <si>
    <t xml:space="preserve">UI / Content leak</t>
  </si>
  <si>
    <t xml:space="preserve">1. Scroll to the 'Ready to visit? — Ready to Find Your Dream Property in Gurgaon?' band
2. Look directly beneath the 'Call Now on WhatsApp' button</t>
  </si>
  <si>
    <t xml:space="preserve">The full raw URL is rendered as visible text on the page: https://wa.me/918447909227?text=Hi%2C%20I'm%20interested%20in%20HomzRealtor... Encoded characters (%2C, %20) are exposed to the user. On mobile this long unbroken string is a strong candidate for horizontal overflow.</t>
  </si>
  <si>
    <t xml:space="preserve">The URL should only exist in the button's href. No raw URL text should be rendered.</t>
  </si>
  <si>
    <t xml:space="preserve">Live DOM: an anchor whose text content is the URL itself, immediately after the styled WhatsApp CTA.</t>
  </si>
  <si>
    <t xml:space="preserve">HR-HP-008</t>
  </si>
  <si>
    <t xml:space="preserve">Latest News</t>
  </si>
  <si>
    <t xml:space="preserve">News cards are not clickable — no article links exist</t>
  </si>
  <si>
    <t xml:space="preserve">Functional / Dead end</t>
  </si>
  <si>
    <t xml:space="preserve">1. Scroll to 'Stay informed — Latest News'
2. Click the headline 'Haryana Eases Circle Rates Across Dwarka Expressway Corridor'
3. Click the card image
4. Repeat for the two smaller cards</t>
  </si>
  <si>
    <t xml:space="preserve">None of the three news cards are wrapped in a link. There is no 'read more', no article URL, and no section-level 'View All'. The card shows '4 min read' — implying an article that cannot be opened.</t>
  </si>
  <si>
    <t xml:space="preserve">Each card links to its article page. Add a 'View All News' link to the section header, matching the pattern used by Featured Projects and Latest Launches.</t>
  </si>
  <si>
    <t xml:space="preserve">Live DOM: no &lt;a&gt; wrapper on any news card; no href anywhere in the section.</t>
  </si>
  <si>
    <t xml:space="preserve">Frontend Dev / Content</t>
  </si>
  <si>
    <t xml:space="preserve">HR-HP-009</t>
  </si>
  <si>
    <t xml:space="preserve">Property Insights</t>
  </si>
  <si>
    <t xml:space="preserve">All 4 guide cards are non-clickable dead ends</t>
  </si>
  <si>
    <t xml:space="preserve">1. Scroll to "Buyer's guides — Property Insights"
2. Click each of the 4 cards ('A Complete Guide to Buying Under-Construction Property', 'Understanding RERA...', 'Home Loan Documentation Checklist...', '5 Micro-Markets...')</t>
  </si>
  <si>
    <t xml:space="preserve">No card is a link. All four advertise a read time (6/5/4/7 min read) but nothing opens. This is the single biggest wasted SEO/content asset on the page.</t>
  </si>
  <si>
    <t xml:space="preserve">Each guide links to its full article. These are high-intent informational pages and should be real indexable URLs.</t>
  </si>
  <si>
    <t xml:space="preserve">Live DOM: no anchors in the Property Insights grid.</t>
  </si>
  <si>
    <t xml:space="preserve">HR-HP-010</t>
  </si>
  <si>
    <t xml:space="preserve">Testimonials</t>
  </si>
  <si>
    <t xml:space="preserve">All 6 testimonials contain word-for-word identical copy</t>
  </si>
  <si>
    <t xml:space="preserve">Content / Trust</t>
  </si>
  <si>
    <t xml:space="preserve">1. Scroll to 'CUSTOMER TESTIMONIALS'
2. Read the first card
3. Read every subsequent card in the carousel</t>
  </si>
  <si>
    <t xml:space="preserve">All six cards carry the exact same sentence: 'From initial consultation to closing, the journey was smooth and transparent...'. Only the name and job title change, and even those repeat (Arush Deshmukh, Pooja Jain, Dr. Narayan Deshmukh each appear twice). All six are 5-star. This reads as unmistakably fake to any buyer.</t>
  </si>
  <si>
    <t xml:space="preserve">Six distinct, real testimonials with varied copy, or reduce to however many genuine ones exist. Duplicated review text on a property portal is a direct conversion and trust killer.</t>
  </si>
  <si>
    <t xml:space="preserve">Live DOM: identical text node repeated 6x; 3 unique names cycled twice.</t>
  </si>
  <si>
    <t xml:space="preserve">Content / Marketing</t>
  </si>
  <si>
    <t xml:space="preserve">HR-HP-011</t>
  </si>
  <si>
    <t xml:space="preserve">Testimonial avatars are placeholder assets (dummy.svg)</t>
  </si>
  <si>
    <t xml:space="preserve">Content / Placeholder in prod</t>
  </si>
  <si>
    <t xml:space="preserve">1. Scroll to 'CUSTOMER TESTIMONIALS'
2. Inspect the avatar image on any card</t>
  </si>
  <si>
    <t xml:space="preserve">Every avatar loads /_next/static/media/dummy.2k4wo512u7i4y.svg — a placeholder asset shipped to production. Combined with HR-HP-010, the entire section is dummy data.</t>
  </si>
  <si>
    <t xml:space="preserve">Real customer photos, or a designed initial-avatar fallback. The file should not be named 'dummy'.</t>
  </si>
  <si>
    <t xml:space="preserve">Live DOM: 6x &lt;img src=".../dummy.2k4wo512u7i4y.svg"&gt;</t>
  </si>
  <si>
    <t xml:space="preserve">Content / Design</t>
  </si>
  <si>
    <t xml:space="preserve">HR-HP-012</t>
  </si>
  <si>
    <t xml:space="preserve">Gurgaon Sectors</t>
  </si>
  <si>
    <t xml:space="preserve">Project count is concatenated to the sector name — labels read as wrong sector numbers</t>
  </si>
  <si>
    <t xml:space="preserve">UI / Layout — spacing</t>
  </si>
  <si>
    <t xml:space="preserve">1. Scroll to 'Browse by location — Gurgaon Sectors'
2. Read the tile labels carefully
3. Hover/inspect each tile's href to confirm the real sector</t>
  </si>
  <si>
    <t xml:space="preserve">The sector name and the count badge render with no separator, producing misleading labels. 'Sector 2' + '1 projects' displays as 'Sector 21'. Confirmed against hrefs: /sector-2 shows 'Sector 21', /sector-3 shows 'Sector 31', /sector-6 shows 'Sector 61', /sector-9 shows 'Sector 93', /sector-25 shows 'Sector 251', /sector-63a shows 'Sector 63A2'. A user looking for Sector 21 will click a tile that takes them to Sector 2.</t>
  </si>
  <si>
    <t xml:space="preserve">Count must be visually separated from the name — its own line, a pill/badge with margin, or a separator: 'Sector 2 · 1 project'. Also fix the plural: '1 projects' -&gt; '1 project'.</t>
  </si>
  <si>
    <t xml:space="preserve">Live DOM, all 12 tiles affected. Cross-checked label text against href slug.</t>
  </si>
  <si>
    <t xml:space="preserve">Frontend Dev / Design</t>
  </si>
  <si>
    <t xml:space="preserve">HR-HP-013</t>
  </si>
  <si>
    <t xml:space="preserve">Discover The Latest Projects (carousel)</t>
  </si>
  <si>
    <t xml:space="preserve">3 of 5 slides are missing their description and CTA</t>
  </si>
  <si>
    <t xml:space="preserve">UI / Content completeness</t>
  </si>
  <si>
    <t xml:space="preserve">1. Scroll to 'Discover The Latest Projects'
2. Page through all 5 slides using the arrows</t>
  </si>
  <si>
    <t xml:space="preserve">'Buy Property' and 'Rent Property' render a heading, a body paragraph and a 'View More' button. 'Plots &amp; Lands', 'Projects' and 'Commercial' render a heading and image only — no description, no CTA. Three of five slides are unreachable dead ends.</t>
  </si>
  <si>
    <t xml:space="preserve">All five slides carry a description and a working 'View More' CTA (/plots-and-lands, /project-listing, /commercial).</t>
  </si>
  <si>
    <t xml:space="preserve">Live DOM: description + CTA nodes absent on slides 3, 4, 5.</t>
  </si>
  <si>
    <t xml:space="preserve">HR-HP-014</t>
  </si>
  <si>
    <t xml:space="preserve">'Buy Property' slide is duplicated in the DOM</t>
  </si>
  <si>
    <t xml:space="preserve">UI / Duplicate render</t>
  </si>
  <si>
    <t xml:space="preserve">1. Scroll to 'Discover The Latest Projects'
2. Page through the carousel from the first slide and count occurrences of 'Buy Property'</t>
  </si>
  <si>
    <t xml:space="preserve">The 'Buy Property' slide (identical image discoverImage1 + heading) is rendered twice — once before the arrow controls and once after. Likely an infinite-loop clone leaking into the DOM, or a duplicated array entry.</t>
  </si>
  <si>
    <t xml:space="preserve">Each slide appears exactly once. If clones are needed for infinite scroll, mark them aria-hidden and exclude from the visible count/pagination.</t>
  </si>
  <si>
    <t xml:space="preserve">Live DOM: 'Buy Property' heading + discoverImage1 asset appear twice.</t>
  </si>
  <si>
    <t xml:space="preserve">HR-HP-015</t>
  </si>
  <si>
    <t xml:space="preserve">Discover carousel — arrows</t>
  </si>
  <si>
    <t xml:space="preserve">Previous and Next arrows load the identical image asset</t>
  </si>
  <si>
    <t xml:space="preserve">UI / Visual</t>
  </si>
  <si>
    <t xml:space="preserve">1. Scroll to 'Discover The Latest Projects'
2. Compare the left and right arrow glyphs visually</t>
  </si>
  <si>
    <t xml:space="preserve">Both buttons load the same file (arrow.3hce5i45euglx.png). If no CSS rotation is applied to one of them, both arrows point the same direction and users cannot tell forward from back. Needs visual confirmation on device.</t>
  </si>
  <si>
    <t xml:space="preserve">Left arrow points left, right arrow points right. Prefer an inline SVG icon with a transform, or two separate assets.</t>
  </si>
  <si>
    <t xml:space="preserve">Live DOM: alt='Previous' and alt='Next' both resolve to /_next/static/media/arrow.3hce5i45euglx.png</t>
  </si>
  <si>
    <t xml:space="preserve">HR-HP-016</t>
  </si>
  <si>
    <t xml:space="preserve">&lt;head&gt; — social meta</t>
  </si>
  <si>
    <t xml:space="preserve">Homepage has no og:image or twitter:image</t>
  </si>
  <si>
    <t xml:space="preserve">SEO / Social</t>
  </si>
  <si>
    <t xml:space="preserve">N/A (meta)</t>
  </si>
  <si>
    <t xml:space="preserve">1. View page source of the homepage
2. Search for og:image and twitter:image
3. Paste https://www.homzrealtor.com/ into WhatsApp, LinkedIn and X and observe the preview card</t>
  </si>
  <si>
    <t xml:space="preserve">Both tags are absent. twitter:card is set to 'summary_large_image' but there is no image to fill it, so shares render as a bare text link with an empty card. The project detail page DOES set og:image — so this is a homepage-only gap.</t>
  </si>
  <si>
    <t xml:space="preserve">Add og:image and twitter:image (1200x630) plus og:image:alt, og:image:width, og:image:height, matching the pattern already used on project pages.</t>
  </si>
  <si>
    <t xml:space="preserve">Homepage &lt;head&gt;: og:title, og:description, og:url, og:site_name, og:locale, og:type present — og:image missing.</t>
  </si>
  <si>
    <t xml:space="preserve">HR-HP-017</t>
  </si>
  <si>
    <t xml:space="preserve">Latest News / Property Insights</t>
  </si>
  <si>
    <t xml:space="preserve">Card images ship with empty alt attributes</t>
  </si>
  <si>
    <t xml:space="preserve">Accessibility / SEO</t>
  </si>
  <si>
    <t xml:space="preserve">1. Inspect the &lt;img&gt; elements in the Latest News and Property Insights sections
2. Run a screen reader (VoiceOver / TalkBack) over both sections</t>
  </si>
  <si>
    <t xml:space="preserve">All 7 card images have alt="" (empty). Screen readers skip them entirely, and they contribute nothing to image search.</t>
  </si>
  <si>
    <t xml:space="preserve">Descriptive alt text on every content image, e.g. alt='Dwarka Expressway corridor aerial view'. Empty alt is correct only for purely decorative images.</t>
  </si>
  <si>
    <t xml:space="preserve">Live DOM: ![](...) pattern on all news + insights card images.</t>
  </si>
  <si>
    <t xml:space="preserve">HR-HP-018</t>
  </si>
  <si>
    <t xml:space="preserve">Inconsistent heading hierarchy inside the section (H3 then H4)</t>
  </si>
  <si>
    <t xml:space="preserve">Accessibility / Semantics</t>
  </si>
  <si>
    <t xml:space="preserve">N/A (DOM)</t>
  </si>
  <si>
    <t xml:space="preserve">1. Inspect heading levels within the Latest News block</t>
  </si>
  <si>
    <t xml:space="preserve">The featured article headline uses &lt;h3&gt; while the two secondary cards use &lt;h4&gt;, despite being siblings at the same semantic level. This breaks the document outline for assistive tech.</t>
  </si>
  <si>
    <t xml:space="preserve">All three article headlines should use the same heading level, sized differently via CSS rather than by changing the tag.</t>
  </si>
  <si>
    <t xml:space="preserve">Live DOM: '### Haryana Eases Circle Rates...' vs '#### Golf Course Extension Metro Line...'</t>
  </si>
  <si>
    <t xml:space="preserve">HR-HP-019</t>
  </si>
  <si>
    <t xml:space="preserve">Hero + section images</t>
  </si>
  <si>
    <t xml:space="preserve">Full-bleed PNGs requested at w=3840 including on mobile</t>
  </si>
  <si>
    <t xml:space="preserve">Performance / LCP</t>
  </si>
  <si>
    <t xml:space="preserve">Mobile (priority) + Desktop</t>
  </si>
  <si>
    <t xml:space="preserve">1. Open DevTools &gt; Network, throttle to Fast 3G, emulate iPhone 12
2. Hard-reload the homepage
3. Sort by size and inspect the hero image request
4. Run Lighthouse mobile</t>
  </si>
  <si>
    <t xml:space="preserve">The hero (herobg PNG) and multiple section images are requested at w=3840&amp;q=75 as PNG. Serving a near-4K PNG as the LCP element on a 390px viewport will heavily inflate LCP and data usage on Indian mobile networks.</t>
  </si>
  <si>
    <t xml:space="preserve">Serve responsive sizes via next/image `sizes` so mobile receives ~640-828w, output AVIF/WebP instead of PNG, and set priority + explicit width/height on the LCP image. Target mobile LCP &lt; 2.5s.</t>
  </si>
  <si>
    <t xml:space="preserve">Live DOM: /_next/image?url=...herobg...&amp;w=3840&amp;q=75 and 8+ further w=3840 PNG requests.</t>
  </si>
  <si>
    <t xml:space="preserve">HR-HP-020</t>
  </si>
  <si>
    <t xml:space="preserve">Gurgaon Real Estate at a Glance</t>
  </si>
  <si>
    <t xml:space="preserve">Section labelled 'Live market data' but figures are hardcoded</t>
  </si>
  <si>
    <t xml:space="preserve">1. Scroll to 'Live market data — Gurgaon Real Estate at a Glance'
2. Note the four figures
3. Reload and check for any data fetch in the Network tab</t>
  </si>
  <si>
    <t xml:space="preserve">The eyebrow claims 'Live market data' but 18.4% / ₹9,850 / 6,200+ / 42 days appear to be static values in the markup with no API call. Claiming live data that isn't live is a trust and (for a RERA-regulated advertiser) a compliance exposure.</t>
  </si>
  <si>
    <t xml:space="preserve">Either wire these to a real data source with a visible 'as of &lt;date&gt;' stamp, or change the eyebrow to 'Market snapshot' and add a source + date line.</t>
  </si>
  <si>
    <t xml:space="preserve">Live DOM: static text nodes; no corresponding fetch observed.</t>
  </si>
  <si>
    <t xml:space="preserve">Content / Backend</t>
  </si>
  <si>
    <t xml:space="preserve">HR-HP-021</t>
  </si>
  <si>
    <t xml:space="preserve">Homz Intelligence — chart</t>
  </si>
  <si>
    <t xml:space="preserve">Chart axis labels render concatenated as '20202026'</t>
  </si>
  <si>
    <t xml:space="preserve">1. Scroll to 'AI-powered insights — Homz Intelligence'
2. Read the x-axis labels beneath the sparkline</t>
  </si>
  <si>
    <t xml:space="preserve">The start and end year labels render with no space or separation, producing '20202026' as one unreadable string. Same root cause class as HR-HP-012 (adjacent inline nodes with no gap).</t>
  </si>
  <si>
    <t xml:space="preserve">Labels sit at opposite ends of the axis: '2020' left-aligned, '2026' right-aligned, with justify-content: space-between on the axis row.</t>
  </si>
  <si>
    <t xml:space="preserve">Live DOM: adjacent text nodes '2020' and '2026' with no separator.</t>
  </si>
  <si>
    <t xml:space="preserve">HR-HP-022</t>
  </si>
  <si>
    <t xml:space="preserve">Chart labelled '5yr' but the axis spans 2020-2026 (6 years)</t>
  </si>
  <si>
    <t xml:space="preserve">Content / Data accuracy</t>
  </si>
  <si>
    <t xml:space="preserve">1. Read the chart caption 'Price growth by sector (5yr) +18.4%'
2. Compare to the axis range 2020 to 2026</t>
  </si>
  <si>
    <t xml:space="preserve">Caption says 5 years; the axis covers 6. The same +18.4% figure is also presented above as 'Avg. YoY price appreciation' — one number cannot be both a 5-year growth figure and a year-on-year figure.</t>
  </si>
  <si>
    <t xml:space="preserve">Reconcile the two. Either the axis or the caption is wrong, and the YoY vs multi-year framing must be made distinct.</t>
  </si>
  <si>
    <t xml:space="preserve">Live DOM: '(5yr) +18.4%' with axis 2020-2026; '18.4% Avg. YoY price appreciation' in the stats band above.</t>
  </si>
  <si>
    <t xml:space="preserve">HR-HP-023</t>
  </si>
  <si>
    <t xml:space="preserve">Trust stats band</t>
  </si>
  <si>
    <t xml:space="preserve">Large numbers not formatted to Indian digit grouping</t>
  </si>
  <si>
    <t xml:space="preserve">UI / Formatting</t>
  </si>
  <si>
    <t xml:space="preserve">1. Look at the four-up stats band under the hero</t>
  </si>
  <si>
    <t xml:space="preserve">'25500+' renders without separators. Elsewhere the site uses Indian grouping (₹31,60,000), so this is internally inconsistent.</t>
  </si>
  <si>
    <t xml:space="preserve">Render as '25,500+' using the same Indian locale formatter applied site-wide.</t>
  </si>
  <si>
    <t xml:space="preserve">Live DOM: '25500+Happy Customers'</t>
  </si>
  <si>
    <t xml:space="preserve">HR-HP-024</t>
  </si>
  <si>
    <t xml:space="preserve">Expert Consultation form</t>
  </si>
  <si>
    <t xml:space="preserve">Form inputs have no visible labels; validation behaviour unverified</t>
  </si>
  <si>
    <t xml:space="preserve">Accessibility / Functional</t>
  </si>
  <si>
    <t xml:space="preserve">1. Scroll to 'Talk to a specialist — Expert Consultation, Zero Obligation'
2. Tab through the form using only the keyboard
3. Submit empty
4. Submit with an invalid phone (e.g. '123')
5. Submit valid data and confirm a lead is received</t>
  </si>
  <si>
    <t xml:space="preserve">Fields appear to rely on placeholders only, with no persistent &lt;label&gt;. Placeholder-only labelling fails WCAG 1.3.1/3.3.2 and the label vanishes once typing starts. Submission success/error handling, spam protection and lead delivery all need end-to-end confirmation.</t>
  </si>
  <si>
    <t xml:space="preserve">Visible persistent labels bound with for/id; inline error messages with aria-describedby; 10-digit Indian mobile validation; visible success state; confirmed lead delivery to CRM/email; honeypot or captcha.</t>
  </si>
  <si>
    <t xml:space="preserve">Live DOM: no label text rendered alongside inputs.</t>
  </si>
  <si>
    <t xml:space="preserve">HR-HP-025</t>
  </si>
  <si>
    <t xml:space="preserve">Hero quick-links + CTA bands</t>
  </si>
  <si>
    <t xml:space="preserve">Button-style CTAs need confirmation that they perform an action</t>
  </si>
  <si>
    <t xml:space="preserve">Functional / CTA</t>
  </si>
  <si>
    <t xml:space="preserve">1. Click 'Talk to a Local Expert' in the hero quick-link row
2. Click 'Search' in the hero search bar
3. Click 'Schedule Site Visit' in the bottom CTA band
4. Click 'Read more' on any testimonial
5. Click 'Login' and 'Sign Up' in the header (both desktop nav and mobile menu)</t>
  </si>
  <si>
    <t xml:space="preserve">These render as buttons with no href in the markup, unlike their siblings which are proper anchors. Each needs confirmation that it opens a modal/scrolls to the form/navigates. Any that no-op is a P1 conversion loss.</t>
  </si>
  <si>
    <t xml:space="preserve">Every CTA performs a defined action, is keyboard-focusable, has a visible focus ring, and shows a pressed/loading state.</t>
  </si>
  <si>
    <t xml:space="preserve">Live DOM: rendered as non-anchor elements among anchor siblings.</t>
  </si>
  <si>
    <t xml:space="preserve">HR-HP-026</t>
  </si>
  <si>
    <t xml:space="preserve">Homz Intelligence CTA</t>
  </si>
  <si>
    <t xml:space="preserve">'Get Your Free Report' only scrolls to the generic contact form</t>
  </si>
  <si>
    <t xml:space="preserve">UX / Expectation mismatch</t>
  </si>
  <si>
    <t xml:space="preserve">1. Click 'Get Your Free Report' under Homz Intelligence</t>
  </si>
  <si>
    <t xml:space="preserve">The CTA links to #consult — the same generic 'Expert Consultation' callback form used by every other CTA on the page. No report is delivered and the form does not reference a report, so the promise is unmet.</t>
  </si>
  <si>
    <t xml:space="preserve">Either deliver an actual report (gated download / emailed PDF) or reword the CTA to match what happens ('Talk to an analyst').</t>
  </si>
  <si>
    <t xml:space="preserve">Live DOM: href='#consult'</t>
  </si>
  <si>
    <t xml:space="preserve">Product / Content</t>
  </si>
  <si>
    <t xml:space="preserve">HR-HP-027</t>
  </si>
  <si>
    <t xml:space="preserve">Footer</t>
  </si>
  <si>
    <t xml:space="preserve">Two conflicting navigation blocks in the footer</t>
  </si>
  <si>
    <t xml:space="preserve">UX / IA</t>
  </si>
  <si>
    <t xml:space="preserve">1. Scroll to the footer
2. Compare the upper link row (Home, Properties, Developers, Consult, FAQ) with the lower link list (Home, Projects, Developers, Contact)</t>
  </si>
  <si>
    <t xml:space="preserve">Two separate nav blocks with different labels for the same destinations ('Properties' vs 'Projects'), different item sets, and different link health — the upper set works, the lower set is entirely dead (HR-HP-001).</t>
  </si>
  <si>
    <t xml:space="preserve">One canonical footer navigation with consistent labelling matching the header.</t>
  </si>
  <si>
    <t xml:space="preserve">Live DOM: two distinct link groups within the footer region.</t>
  </si>
  <si>
    <t xml:space="preserve">Design / Frontend Dev</t>
  </si>
  <si>
    <t xml:space="preserve">HR-HP-028</t>
  </si>
  <si>
    <t xml:space="preserve">Legal / Compliance</t>
  </si>
  <si>
    <t xml:space="preserve">Footer has no Privacy Policy, Terms, RERA agent registration or registered address</t>
  </si>
  <si>
    <t xml:space="preserve">Compliance / Legal</t>
  </si>
  <si>
    <t xml:space="preserve">1. Scroll to the footer
2. Look for Privacy Policy, Terms of Use, Disclaimer, registered office address, RERA agent registration number</t>
  </si>
  <si>
    <t xml:space="preserve">None are present. The site collects personal data (name, phone, enquiry intent) with no linked privacy policy — an issue under India's DPDP Act. As an operating real-estate channel partner, the HRERA agent registration number and a disclaimer are also expected on every page.</t>
  </si>
  <si>
    <t xml:space="preserve">Add Privacy Policy, Terms of Use, Disclaimer, registered address, and HRERA agent registration number to the global footer. Link the privacy policy from every lead form's consent line.</t>
  </si>
  <si>
    <t xml:space="preserve">Live DOM: footer contains only 4 dead links and a copyright line.</t>
  </si>
  <si>
    <t xml:space="preserve">Legal / Product</t>
  </si>
  <si>
    <t xml:space="preserve">HR-HP-029</t>
  </si>
  <si>
    <t xml:space="preserve">Hero / Why Choose Us</t>
  </si>
  <si>
    <t xml:space="preserve">Unsubstantiated absolute claims used as headline copy</t>
  </si>
  <si>
    <t xml:space="preserve">Compliance / Content</t>
  </si>
  <si>
    <t xml:space="preserve">1. Read the hero eyebrow: '#1 Trusted Property Platform in Gurgaon'
2. Read Why Choose Us: '100% verified property listings you can trust'</t>
  </si>
  <si>
    <t xml:space="preserve">Both are absolute, unqualified superlative claims with no cited basis. Under ASCI guidelines these require substantiation, and '100% verified' creates direct liability if any listing turns out otherwise.</t>
  </si>
  <si>
    <t xml:space="preserve">Either substantiate with a cited source/footnote, or soften ('Trusted by 25,500+ buyers in Gurgaon', 'Every listing verified by our compliance team').</t>
  </si>
  <si>
    <t xml:space="preserve">Live DOM: hero eyebrow and Why Choose Us card copy.</t>
  </si>
  <si>
    <t xml:space="preserve">Legal / Marketing</t>
  </si>
  <si>
    <t xml:space="preserve">HR-HP-030</t>
  </si>
  <si>
    <t xml:space="preserve">Project cards (Latest Launches)</t>
  </si>
  <si>
    <t xml:space="preserve">Project name duplicated in image alt and visible heading</t>
  </si>
  <si>
    <t xml:space="preserve">1. Run a screen reader over the Latest Launches cards</t>
  </si>
  <si>
    <t xml:space="preserve">Card image alt duplicates the project name that is already announced by the heading, e.g. 'DLF Central 84' is read twice per card.</t>
  </si>
  <si>
    <t xml:space="preserve">Either mark the card image decorative (alt='') since the heading conveys the name, or use a differentiated alt describing the image content.</t>
  </si>
  <si>
    <t xml:space="preserve">Live DOM: alt text and adjacent heading carry identical strings on all cards.</t>
  </si>
  <si>
    <t xml:space="preserve">HR-HP-031</t>
  </si>
  <si>
    <t xml:space="preserve">Both pages</t>
  </si>
  <si>
    <t xml:space="preserve">Top announcement bar</t>
  </si>
  <si>
    <t xml:space="preserve">Promo bar has no dismiss control</t>
  </si>
  <si>
    <t xml:space="preserve">UX</t>
  </si>
  <si>
    <t xml:space="preserve">1. Load either page
2. Look at the top strip: 'Exclusive Luxury Properties in Gurgaon – Invest in Your Future Today [VIEW ➜]'
3. Try to close it</t>
  </si>
  <si>
    <t xml:space="preserve">There is no close/dismiss affordance. The bar permanently consumes vertical space above the fold, which matters most on small mobile viewports.</t>
  </si>
  <si>
    <t xml:space="preserve">Add a dismiss control that persists the choice (cookie/localStorage) for the session.</t>
  </si>
  <si>
    <t xml:space="preserve">Live DOM: no dismiss element in the announcement bar.</t>
  </si>
  <si>
    <t xml:space="preserve">HR-PL-001</t>
  </si>
  <si>
    <t xml:space="preserve">Project Detail — /project-listing/ggn/m3m-route-65</t>
  </si>
  <si>
    <t xml:space="preserve">Page structure / DOM order</t>
  </si>
  <si>
    <t xml:space="preserve">Footer is rendered mid-page — the entire body content sits AFTER the footer in the DOM</t>
  </si>
  <si>
    <t xml:space="preserve">Structural / Accessibility / SEO</t>
  </si>
  <si>
    <t xml:space="preserve">1. Load the project page
2. View source or inspect the DOM
3. Trace document order from the hero downward
4. Tab through the page using only the keyboard and note where focus goes after the sticky price bar
5. Run a screen reader from top to bottom</t>
  </si>
  <si>
    <t xml:space="preserve">Source order is: hero -&gt; enquiry form -&gt; 'Ready to visit' CTA -&gt; sticky price bar -&gt; FOOTER (logo, nav, '© 2026 Homz Realtor. All rights reserved.') -&gt; and only THEN the actual page content (Overview, About, Location Intelligence, Gallery, Configurations, Pricing, EMI calculator, Amenities, FAQ...). Visual order is being produced by CSS while the underlying document is out of order.</t>
  </si>
  <si>
    <t xml:space="preserve">Document order must match visual order: header -&gt; main content -&gt; footer, with the footer as the last element in the DOM. Keyboard tab order and screen-reader reading order depend entirely on this.</t>
  </si>
  <si>
    <t xml:space="preserve">Live DOM: '© 2026 Homz Realtor. All rights reserved.' appears before 'Minutes to the Metro', 'Overview', 'About M3M Route 65' and every subsequent section.</t>
  </si>
  <si>
    <t xml:space="preserve">HR-PL-002</t>
  </si>
  <si>
    <t xml:space="preserve">Hero stat strip vs Investment Score</t>
  </si>
  <si>
    <t xml:space="preserve">Two contradictory scores for the same project on the same page</t>
  </si>
  <si>
    <t xml:space="preserve">Data integrity / Trust</t>
  </si>
  <si>
    <t xml:space="preserve">1. Load the project page
2. Read the hero stat strip: 'Homz Score — 61 — Fair'
3. Scroll to 'Homz Investment Score'
4. Read: '90 out of 100 — Excellent'</t>
  </si>
  <si>
    <t xml:space="preserve">The page tells the user the project scores 61/100 ('Fair') in the hero and 90/100 ('Excellent') further down. The 90 is fully itemised and internally consistent (18+25+20+17+10 = 90); the 61 has no breakdown and no explanation. A buyer comparing projects gets two opposite signals from one page.</t>
  </si>
  <si>
    <t xml:space="preserve">One score, computed once from one source, displayed identically everywhere. If 'Homz Score' and 'Investment Score' are genuinely different metrics, they must be named differently and each must show its methodology.</t>
  </si>
  <si>
    <t xml:space="preserve">Live DOM: hero '61 / Homz Score / Fair'; scoring section '90 out of 100 / Excellent' with sub-scores summing to 90.</t>
  </si>
  <si>
    <t xml:space="preserve">Backend / Product</t>
  </si>
  <si>
    <t xml:space="preserve">HR-PL-003</t>
  </si>
  <si>
    <t xml:space="preserve">&lt;head&gt; — canonical</t>
  </si>
  <si>
    <t xml:space="preserve">Canonical URL does not match the live URL (/gurgaon/ vs /ggn/)</t>
  </si>
  <si>
    <t xml:space="preserve">1. Load https://www.homzrealtor.com/project-listing/ggn/m3m-route-65
2. View source, read the canonical tag
3. Also load /project-listing/gurgaon/m3m-route-65 and compare</t>
  </si>
  <si>
    <t xml:space="preserve">The live URL uses /ggn/ but canonical, og:url and twitter:url all declare /gurgaon/. The same project is reachable under two city slugs. Internal links are inconsistent too: 'More by M3M' cards use /ggn/ while every 'Compare with current project' link uses /gurgaon/. Result: duplicate content, split ranking signals, and Search Console showing 'Alternate page with proper canonical tag' or 'Duplicate without user-selected canonical'.</t>
  </si>
  <si>
    <t xml:space="preserve">Pick one canonical slug scheme (recommend the readable /gurgaon/), 301-redirect the other, and update every internal link, sitemap entry and breadcrumb to use it exclusively.</t>
  </si>
  <si>
    <t xml:space="preserve">Live: URL /project-listing/ggn/... vs canonical https://www.homzrealtor.com/project-listing/gurgaon/m3m-route-65. Breadcrumb 'Gurgaon' -&gt; /project-listing/ggn.</t>
  </si>
  <si>
    <t xml:space="preserve">SEO / Frontend Dev</t>
  </si>
  <si>
    <t xml:space="preserve">HR-PL-004</t>
  </si>
  <si>
    <t xml:space="preserve">Connectivity Scorecard / Nearby</t>
  </si>
  <si>
    <t xml:space="preserve">Connectivity rows, schools table and map link render orphaned below the FAQ</t>
  </si>
  <si>
    <t xml:space="preserve">UI / Layout — content placement</t>
  </si>
  <si>
    <t xml:space="preserve">1. Scroll to 'Connectivity Scorecard - M3M Route 65'
2. Note that only one row ('IGI Airport, Delhi — 43 mins') appears
3. Continue scrolling past Amenities, Specifications, More by M3M, Similar Projects and the FAQ
4. Observe the content after the last FAQ item</t>
  </si>
  <si>
    <t xml:space="preserve">The remaining connectivity rows ('28 mins / 14.5 km away', '13 mins / 5.5 km away', '31 mins / 19.7 km away'), the full 10-row schools table, the 'Open in Google Maps' link and stray fragments ('Normal Park / Central Green', 'Multi Brand Retail / High Street Retail / Food Court') all render at the very bottom of the page, after the FAQ, detached from their headings and stripped of their labels — the times and distances appear with no place names.</t>
  </si>
  <si>
    <t xml:space="preserve">All connectivity rows render inside the Connectivity Scorecard with their place names. The schools table and map link belong under 'What's Nearby'. Nothing should render after the FAQ except the footer.</t>
  </si>
  <si>
    <t xml:space="preserve">Live DOM: orphaned nodes following the final FAQ answer.</t>
  </si>
  <si>
    <t xml:space="preserve">HR-PL-005</t>
  </si>
  <si>
    <t xml:space="preserve">Overview / Location / Investment / Market sections</t>
  </si>
  <si>
    <t xml:space="preserve">Entire content blocks are rendered twice, verbatim</t>
  </si>
  <si>
    <t xml:space="preserve">Content duplication / SEO</t>
  </si>
  <si>
    <t xml:space="preserve">1. Read the Overview teaser near the top
2. Scroll to 'OVERVIEW — About M3M Route 65'
3. Scroll to 'LOCATION — Location Intelligence' and read 'Location &amp; Connectivity' + "What's Nearby"
4. Continue to the standalone 'Location — In the middle of everything' section and re-read
5. Compare 'INVESTMENT — Investment Snapshot' with 'Investment Analysis – M3M Route 65' further down
6. Compare 'MARKET — Price &amp; Market Position' with 'Gurgaon – Market Insights' further down</t>
  </si>
  <si>
    <t xml:space="preserve">Four separate content blocks appear twice word-for-word: the Overview paragraph, the Investment Snapshot paragraph, Location &amp; Connectivity + What's Nearby, and Price &amp; Market Position. This looks like a tabbed component rendering all panels inline in addition to the standalone sections below. It roughly doubles page length, buries the unique content, and reads as thin/duplicated to search engines.</t>
  </si>
  <si>
    <t xml:space="preserve">Each block appears once. If the upper block is meant to be a tabbed summary, only the active panel should be in the accessible tree and the duplicate standalone sections should be removed.</t>
  </si>
  <si>
    <t xml:space="preserve">Live DOM: identical paragraph text present twice for each of the four blocks.</t>
  </si>
  <si>
    <t xml:space="preserve">HR-PL-006</t>
  </si>
  <si>
    <t xml:space="preserve">About M3M Route 65</t>
  </si>
  <si>
    <t xml:space="preserve">Six section headings render with no content beneath them</t>
  </si>
  <si>
    <t xml:space="preserve">Content / Empty state</t>
  </si>
  <si>
    <t xml:space="preserve">1. Scroll to 'OVERVIEW — About M3M Route 65'
2. Read past the intro paragraphs</t>
  </si>
  <si>
    <t xml:space="preserve">Six headings render with completely empty bodies: 'Amenities at M3M Route 65, Sector 65, Gurgaon', 'Location Advantage of M3M Route 65...', 'Commute and Connectivity', 'Nearby IT Parks and Hubs', 'Social Infrastructure Highlights', and 'Upcoming Infrastructure near M3M Route 65...'. Only 'Investment Opportunities at...' has body copy. The user scrolls through six promises of information and receives none.</t>
  </si>
  <si>
    <t xml:space="preserve">Populate each heading, or suppress any heading whose body is empty at render time. Never ship a heading with a null body.</t>
  </si>
  <si>
    <t xml:space="preserve">Live DOM: heading nodes with no following content node.</t>
  </si>
  <si>
    <t xml:space="preserve">Content / Frontend Dev</t>
  </si>
  <si>
    <t xml:space="preserve">HR-PL-007</t>
  </si>
  <si>
    <t xml:space="preserve">Amenities</t>
  </si>
  <si>
    <t xml:space="preserve">Amenity counts contradict what is actually rendered — twice</t>
  </si>
  <si>
    <t xml:space="preserve">Data integrity</t>
  </si>
  <si>
    <t xml:space="preserve">1. Scroll to 'Amenities – M3M Route 65'
2. Read the summary line: '15 features across 4 categories'
3. Count the categories rendered
4. Read the 'Safety — 5 amenities' label and count the chips listed</t>
  </si>
  <si>
    <t xml:space="preserve">Summary claims 15 amenities across 4 categories. Only 2 categories render (Convenience, Safety) totalling 11 items. Separately, the Safety category header says '5 amenities' but only 4 chips render (24x7 Security, CCTV/Video Surveillance, Fire Fighting Systems, Smoke/Heat Sensors). Two independent count mismatches. The '15+ Lifestyle Amenities' hero stat and the Investment Score line ('15+ amenities') both inherit the wrong number.</t>
  </si>
  <si>
    <t xml:space="preserve">Counts must be derived from the rendered array, not stored separately. Two missing categories must render or the count must drop to match.</t>
  </si>
  <si>
    <t xml:space="preserve">Live DOM: Convenience(6) + Safety(4 shown / 5 claimed) = 10 rendered vs '15 features across 4 categories'.</t>
  </si>
  <si>
    <t xml:space="preserve">Backend / Frontend Dev</t>
  </si>
  <si>
    <t xml:space="preserve">HR-PL-008</t>
  </si>
  <si>
    <t xml:space="preserve">&lt;head&gt; — meta description</t>
  </si>
  <si>
    <t xml:space="preserve">Meta description is truncated mid-word</t>
  </si>
  <si>
    <t xml:space="preserve">1. View source
2. Read the meta description, og:description and twitter:description</t>
  </si>
  <si>
    <t xml:space="preserve">All three end mid-word: '...across a beautifully designed high-str'. The string is being hard-cut at a character limit with no word-boundary handling and no ellipsis. This will surface in Google's SERP snippet exactly as written.</t>
  </si>
  <si>
    <t xml:space="preserve">Truncate at the last whole word before the limit and append an ellipsis, or author descriptions manually at 150-155 characters ending on a complete thought with a CTA.</t>
  </si>
  <si>
    <t xml:space="preserve">Live &lt;head&gt;: description, og:description and twitter:description all end '...high-str'. Likely affects every project page, not just this one.</t>
  </si>
  <si>
    <t xml:space="preserve">SEO / Backend</t>
  </si>
  <si>
    <t xml:space="preserve">HR-PL-009</t>
  </si>
  <si>
    <t xml:space="preserve">Hero stat trio</t>
  </si>
  <si>
    <t xml:space="preserve">'Minutes to the Metro' displays no value; stat numbers appear offset by one</t>
  </si>
  <si>
    <t xml:space="preserve">UI / Data binding</t>
  </si>
  <si>
    <t xml:space="preserve">1. Scroll to the three-stat strip below the hero
2. Read stat 1: 'Minutes to the Metro — Sector 55-56 (Metro) on the doorstep.'
3. Read stat 2: 'Minutes to the Airport — IGI Airport, Delhi by road.'
4. Read stat 3: 'Lifestyle Amenities — Thoughtfully curated across the project.'</t>
  </si>
  <si>
    <t xml:space="preserve">The first stat renders a label and description but no number. The value '43m' sits between stat 1 and stat 2, and '15+' between stat 2 and stat 3 — consistent with values being rendered one position out of alignment with their labels. Either way, 'Minutes to the Metro' — a headline selling point — shows nothing.</t>
  </si>
  <si>
    <t xml:space="preserve">Each stat card renders its own value bound to its own label. Metro should show ~13 mins per the Location &amp; Connectivity data.</t>
  </si>
  <si>
    <t xml:space="preserve">Live DOM: value nodes positioned after their sibling label/description pairs, first card value absent.</t>
  </si>
  <si>
    <t xml:space="preserve">HR-PL-010</t>
  </si>
  <si>
    <t xml:space="preserve">'43m' is an ambiguous unit for 43 minutes</t>
  </si>
  <si>
    <t xml:space="preserve">UI / Content</t>
  </si>
  <si>
    <t xml:space="preserve">1. Read the stat value '43m' under 'Minutes to the Airport'</t>
  </si>
  <si>
    <t xml:space="preserve">'m' on a real-estate page reads naturally as metres — and this page uses 'm' for metres extensively elsewhere ('137 m', '69 m', '9 m' in What's Nearby). The same page also writes the same figure as '43 mins' in the Connectivity Scorecard.</t>
  </si>
  <si>
    <t xml:space="preserve">Use '43 min' or '43 mins' consistently, matching the Connectivity Scorecard. Never overload 'm' between minutes and metres on the same page.</t>
  </si>
  <si>
    <t xml:space="preserve">Live DOM: '43m' in stat strip vs '43 mins' in Connectivity Scorecard, and 'm' used for metres throughout What's Nearby.</t>
  </si>
  <si>
    <t xml:space="preserve">HR-PL-011</t>
  </si>
  <si>
    <t xml:space="preserve">Location data</t>
  </si>
  <si>
    <t xml:space="preserve">Metro distance is stated as two different figures on the same page</t>
  </si>
  <si>
    <t xml:space="preserve">1. Read 'Location &amp; Connectivity': 'Sector 55-56 (Metro) — 5.5 km, about 13 mins by road'
2. Read "What's Nearby": 'nearest Sector 55-56, 4.1 km'
3. Read the hero stat: 'Sector 55-56 (Metro) on the doorstep'</t>
  </si>
  <si>
    <t xml:space="preserve">The same metro station is 5.5 km in one block, 4.1 km in another, and 'on the doorstep' in a third — all within one page. Both duplicated copies of these blocks (see HR-PL-005) repeat the contradiction.</t>
  </si>
  <si>
    <t xml:space="preserve">Single source of truth for each POI distance, rendered consistently. 'On the doorstep' should be dropped for a station 4-5 km away.</t>
  </si>
  <si>
    <t xml:space="preserve">Live DOM: 5.5 km (Location &amp; Connectivity) vs 4.1 km (What's Nearby) vs 'on the doorstep' (hero stat).</t>
  </si>
  <si>
    <t xml:space="preserve">Backend / Content</t>
  </si>
  <si>
    <t xml:space="preserve">HR-PL-012</t>
  </si>
  <si>
    <t xml:space="preserve">Hero image + og:image</t>
  </si>
  <si>
    <t xml:space="preserve">Primary project imagery is hotlinked from a third-party competitor CDN</t>
  </si>
  <si>
    <t xml:space="preserve">Reliability / Legal</t>
  </si>
  <si>
    <t xml:space="preserve">1. Inspect the hero image src
2. Inspect og:image and twitter:image
3. Inspect the single gallery slide</t>
  </si>
  <si>
    <t xml:space="preserve">All resolve to static.squareyards.com — a competitor's CDN. The hero, the gallery and every social share card depend on a third party that can change the path, hotlink-block, or remove the asset at any time, at which point the page renders imageless. There is also a licensing exposure in serving another portal's project photography.</t>
  </si>
  <si>
    <t xml:space="preserve">Host all project imagery on your own storage/CDN with licensed or developer-supplied assets. Audit every project page for the same pattern.</t>
  </si>
  <si>
    <t xml:space="preserve">Live DOM: hero, og:image, twitter:image and slide-0 all resolve to static.squareyards.com/resources/images/gurgaon/project-image/m3m-route-65-...</t>
  </si>
  <si>
    <t xml:space="preserve">Legal / Backend</t>
  </si>
  <si>
    <t xml:space="preserve">HR-PL-013</t>
  </si>
  <si>
    <t xml:space="preserve">Page structure</t>
  </si>
  <si>
    <t xml:space="preserve">Two H1 elements on the page, both reading 'M3M Route 65'</t>
  </si>
  <si>
    <t xml:space="preserve">SEO / Accessibility</t>
  </si>
  <si>
    <t xml:space="preserve">1. Inspect the DOM for h1 elements
2. Note one above the hero image and one in the project info block below it</t>
  </si>
  <si>
    <t xml:space="preserve">Two H1s with identical text. Multiple H1s dilute the semantic outline and one of them appears to be a duplicate render of the title area rather than an intentional heading.</t>
  </si>
  <si>
    <t xml:space="preserve">Exactly one H1 per page. Demote the duplicate to a visually identical H2, or remove it if it is an unintended duplicate render.</t>
  </si>
  <si>
    <t xml:space="preserve">Live DOM: '# M3M Route 65' appears twice before the breadcrumb/badge block.</t>
  </si>
  <si>
    <t xml:space="preserve">HR-PL-014</t>
  </si>
  <si>
    <t xml:space="preserve">Gallery &amp; Plans</t>
  </si>
  <si>
    <t xml:space="preserve">Three gallery tabs but only one image exists for the whole project</t>
  </si>
  <si>
    <t xml:space="preserve">Content / Functional</t>
  </si>
  <si>
    <t xml:space="preserve">1. Scroll to 'Gallery &amp; Plans – M3M Route 65'
2. Click 'Exterior', then 'Interior', then 'Master Plan'
3. Also click the 'View Gallery' CTA in the hero</t>
  </si>
  <si>
    <t xml:space="preserve">Only a single image (slide-0) exists, and it is the same asset already used as the hero. 'Interior' and 'Master Plan' tabs have nothing to show. The page title promises 'Floor Plan' and the section is named 'Gallery &amp; Plans', but no plan of any kind is available.</t>
  </si>
  <si>
    <t xml:space="preserve">Populate each tab, or hide tabs with no assets and hide the 'View Gallery' CTA when only one image exists. Remove 'Floor Plan' from the title tag until floor plans are actually published.</t>
  </si>
  <si>
    <t xml:space="preserve">Live DOM: one slide, alt='slide-0', identical URL to the hero image.</t>
  </si>
  <si>
    <t xml:space="preserve">HR-PL-015</t>
  </si>
  <si>
    <t xml:space="preserve">Gallery</t>
  </si>
  <si>
    <t xml:space="preserve">Gallery image alt text is a generic index string</t>
  </si>
  <si>
    <t xml:space="preserve">1. Inspect the gallery image alt attribute</t>
  </si>
  <si>
    <t xml:space="preserve">alt='slide-0' — a developer index, not a description. Conveys nothing to screen-reader users and nothing to image search.</t>
  </si>
  <si>
    <t xml:space="preserve">Descriptive alt, e.g. 'M3M Route 65 high-street retail facade, Sector 65 Gurgaon'.</t>
  </si>
  <si>
    <t xml:space="preserve">Live DOM: alt='slide-0'</t>
  </si>
  <si>
    <t xml:space="preserve">HR-PL-016</t>
  </si>
  <si>
    <t xml:space="preserve">Overview / About copy</t>
  </si>
  <si>
    <t xml:space="preserve">Apostrophe typo 'youre' appears twice</t>
  </si>
  <si>
    <t xml:space="preserve">Content / Copy</t>
  </si>
  <si>
    <t xml:space="preserve">1. Read the Overview teaser
2. Read the 'About M3M Route 65' body</t>
  </si>
  <si>
    <t xml:space="preserve">'Whether youre an investor or an entrepreneur' — missing apostrophe in 'you're'. Appears in both copies of the paragraph (see HR-PL-005).</t>
  </si>
  <si>
    <t xml:space="preserve">Correct to "you're". Proofread the full project-description template, since this copy is likely reused across project pages.</t>
  </si>
  <si>
    <t xml:space="preserve">Live DOM: string present twice on this page.</t>
  </si>
  <si>
    <t xml:space="preserve">HR-PL-017</t>
  </si>
  <si>
    <t xml:space="preserve">Pricing &amp; Payment — payment plans</t>
  </si>
  <si>
    <t xml:space="preserve">'Possession-Linked Plan' card renders with no split and no description</t>
  </si>
  <si>
    <t xml:space="preserve">1. Scroll to 'Payment plans'
2. Compare the three cards</t>
  </si>
  <si>
    <t xml:space="preserve">'Construction-Linked Plan' shows a badge, a 10:80:10 split and a description. 'Down Payment Plan' shows a badge, a 95:5 split and a description. 'Possession-Linked Plan' shows only its title — no split, no description, no badge. It reads as broken next to two complete cards.</t>
  </si>
  <si>
    <t xml:space="preserve">Populate the third plan, or hide it until data exists. Never render a partially-populated card beside complete siblings.</t>
  </si>
  <si>
    <t xml:space="preserve">Live DOM: third plan node contains title only.</t>
  </si>
  <si>
    <t xml:space="preserve">HR-PL-018</t>
  </si>
  <si>
    <t xml:space="preserve">Market Insights</t>
  </si>
  <si>
    <t xml:space="preserve">Commercial retail price compared against a city-wide average — misleading '47% below' claim</t>
  </si>
  <si>
    <t xml:space="preserve">Data / Compliance</t>
  </si>
  <si>
    <t xml:space="preserve">1. Read 'Price &amp; Market Position': 'roughly 47% below the Gurgaon average (₹2.98 Cr)'
2. Cross-reference the configuration table: ₹48,171 per sq.ft</t>
  </si>
  <si>
    <t xml:space="preserve">The arithmetic is correct (1.58 / 2.98), but the comparison is not like-for-like: a 328 sq.ft commercial retail shop is being benchmarked against a Gurgaon-wide average that includes residential apartments. The unit rate of ~₹48,000/sq.ft is in fact well above typical Gurgaon residential rates, so 'below average' gives buyers precisely the wrong impression. The claim is repeated twice on the page (HR-PL-005) and drives a prominent '↓ 47% below Gurgaon avg' badge.</t>
  </si>
  <si>
    <t xml:space="preserve">Benchmark against the comparable segment — commercial retail in Gurgaon, or Sector 65 commercial — and compare per-sq.ft rather than absolute ticket size. State the comparison basis and sample size inline.</t>
  </si>
  <si>
    <t xml:space="preserve">Live DOM: '47% below the Gurgaon average (₹2.98 Cr)' plus '↓ 47% below Gurgaon avg' badge in the pricing block.</t>
  </si>
  <si>
    <t xml:space="preserve">HR-PL-019</t>
  </si>
  <si>
    <t xml:space="preserve">Projected Price Journey</t>
  </si>
  <si>
    <t xml:space="preserve">Projection labelled '8% over 1 yr' though possession is ~7 months away</t>
  </si>
  <si>
    <t xml:space="preserve">Data accuracy</t>
  </si>
  <si>
    <t xml:space="preserve">1. Scroll to 'Projected Price Journey'
2. Read 'Current Price ₹1.58 Cr -&gt; At Possession (2027) ₹1.71 Cr, Projected Gain ₹12.64 Lakh, 8% over 1 yr'</t>
  </si>
  <si>
    <t xml:space="preserve">The gain applies a full year of 8% appreciation, but from today (Jul 2026) to the stated possession of Feb 2027 is about 7 months. The projection overstates the holding period and therefore the gain. (The arithmetic itself is internally consistent: 8% of 1.58 Cr = ₹12.64 L.)</t>
  </si>
  <si>
    <t xml:space="preserve">Compute the horizon from today's date to the actual possession date and pro-rate, e.g. '8% p.a. over 7 months'. Recompute whenever the possession date changes.</t>
  </si>
  <si>
    <t xml:space="preserve">Live DOM: '8% over 1 yr' with possession Feb 2027; page copyright and news dates confirm current period is Jul 2026.</t>
  </si>
  <si>
    <t xml:space="preserve">Frontend Dev / Product</t>
  </si>
  <si>
    <t xml:space="preserve">HR-PL-020</t>
  </si>
  <si>
    <t xml:space="preserve">Number formatting (page-wide)</t>
  </si>
  <si>
    <t xml:space="preserve">Three different currency formats used within the same component</t>
  </si>
  <si>
    <t xml:space="preserve">UI / Consistency</t>
  </si>
  <si>
    <t xml:space="preserve">1. Read the EMI calculator block end to end</t>
  </si>
  <si>
    <t xml:space="preserve">Within one card: '₹1.58 Cr' (crore notation), '₹31,60,000' (Indian digit grouping), '₹1,09,693' (Indian digit grouping), '₹1.26 Cr', '₹12.64 Lakh' (word), '₹48,171'. Mixed notation makes values hard to compare at a glance.</t>
  </si>
  <si>
    <t xml:space="preserve">One formatting rule applied site-wide: e.g. crore/lakh notation above ₹1 L with two decimals, plain Indian grouping below. Centralise in a single formatter utility.</t>
  </si>
  <si>
    <t xml:space="preserve">Live DOM: EMI calculator + Projected Price Journey blocks.</t>
  </si>
  <si>
    <t xml:space="preserve">HR-PL-021</t>
  </si>
  <si>
    <t xml:space="preserve">FAQ</t>
  </si>
  <si>
    <t xml:space="preserve">Price in FAQ answer is formatted inconsistently with the rest of the page</t>
  </si>
  <si>
    <t xml:space="preserve">Content / Consistency</t>
  </si>
  <si>
    <t xml:space="preserve">1. Expand 'What is the price of M3M Route 65?'</t>
  </si>
  <si>
    <t xml:space="preserve">Renders '₹1.58 Cr - 2.59 Cr + Charges' — hyphen instead of the en dash used elsewhere, currency symbol dropped from the second value, and an undefined '+ Charges' with no explanation of what those charges are.</t>
  </si>
  <si>
    <t xml:space="preserve">Match the site pattern '₹1.58 Cr – ₹2.59 Cr' and either itemise '+ Charges' (GST, IFMS, parking, registration) or link to a charges breakdown.</t>
  </si>
  <si>
    <t xml:space="preserve">Live DOM: FAQ answer 1.</t>
  </si>
  <si>
    <t xml:space="preserve">HR-PL-022</t>
  </si>
  <si>
    <t xml:space="preserve">Configurations table</t>
  </si>
  <si>
    <t xml:space="preserve">All three rows carry the identical label 'Retail Shop'</t>
  </si>
  <si>
    <t xml:space="preserve">UX / Content</t>
  </si>
  <si>
    <t xml:space="preserve">1. Scroll to 'Configuration-wise Pricing'
2. Read the Configuration column across all three rows</t>
  </si>
  <si>
    <t xml:space="preserve">Every row reads 'Retail Shop'. The only differentiator is the Size column. Users cannot reference a unit type in an enquiry, and the table's first column carries zero information.</t>
  </si>
  <si>
    <t xml:space="preserve">Differentiate, e.g. 'Retail Shop — Small (328 sq.ft)', or replace the column with 'Unit Type / Level' where that data exists.</t>
  </si>
  <si>
    <t xml:space="preserve">Live DOM: 3 rows, identical first-column value.</t>
  </si>
  <si>
    <t xml:space="preserve">HR-PL-023</t>
  </si>
  <si>
    <t xml:space="preserve">Pricing labels</t>
  </si>
  <si>
    <t xml:space="preserve">'Starting price onwards' repeated three times on one page</t>
  </si>
  <si>
    <t xml:space="preserve">1. Note the label in the hero price block, the Pricing &amp; Payment section, and the sticky bottom bar</t>
  </si>
  <si>
    <t xml:space="preserve">The redundant phrase 'Starting Price ... Starting price onwards' appears in the hero, again in Pricing &amp; Payment, and again in the sticky bar. 'Starting price onwards' is also grammatically redundant.</t>
  </si>
  <si>
    <t xml:space="preserve">Use 'Starting from ₹1.58 Cr' once per context; drop the doubled label in the hero.</t>
  </si>
  <si>
    <t xml:space="preserve">Live DOM: 3 occurrences.</t>
  </si>
  <si>
    <t xml:space="preserve">HR-PL-024</t>
  </si>
  <si>
    <t xml:space="preserve">Sticky bottom price bar</t>
  </si>
  <si>
    <t xml:space="preserve">Sticky bar must be verified against footer, WhatsApp FAB and mobile safe area</t>
  </si>
  <si>
    <t xml:space="preserve">UI / Layout — overlap</t>
  </si>
  <si>
    <t xml:space="preserve">Mobile (priority)</t>
  </si>
  <si>
    <t xml:space="preserve">1. Open on iPhone SE (375x667), iPhone 14 Pro (393x852) and a 360x640 Android
2. Scroll to the very bottom of the page
3. Check whether the sticky price bar covers the footer content or the last FAQ answer
4. Check for collision with the WhatsApp floating button
5. Check the bar sits above the iOS home indicator (safe-area-inset-bottom)
6. Rotate to landscape and repeat</t>
  </si>
  <si>
    <t xml:space="preserve">Requires device verification. A persistent sticky bar plus a floating WhatsApp CTA plus the iOS home indicator is the classic overlap stack, and the page also has an out-of-order footer (HR-PL-001) which increases the risk.</t>
  </si>
  <si>
    <t xml:space="preserve">Sticky bar clears the home indicator via env(safe-area-inset-bottom); page has matching bottom padding so no content is ever obscured; sticky bar and WhatsApp FAB do not overlap; bar hides or docks when the footer enters the viewport.</t>
  </si>
  <si>
    <t xml:space="preserve">Structural inference from live DOM — confirm visually on device.</t>
  </si>
  <si>
    <t xml:space="preserve">Frontend Dev / QA</t>
  </si>
  <si>
    <t xml:space="preserve">HR-PL-025</t>
  </si>
  <si>
    <t xml:space="preserve">Hero action row</t>
  </si>
  <si>
    <t xml:space="preserve">'Save' and 'Share' controls need functional verification</t>
  </si>
  <si>
    <t xml:space="preserve">1. Click 'Save' while logged out, then while logged in
2. Click 'Share' and check whether a share sheet, copy-link or social menu appears
3. Reload and confirm the saved state persists</t>
  </si>
  <si>
    <t xml:space="preserve">Both render as controls with no href among anchor siblings. 'Save' implies an account-bound shortlist — needs an auth prompt when logged out and persistence when logged in. 'Share' should invoke the Web Share API on mobile and a copy-link fallback on desktop. Note the shared URL will carry the /ggn/ vs /gurgaon/ inconsistency (HR-PL-003).</t>
  </si>
  <si>
    <t xml:space="preserve">Save: prompts login when logged out, persists across sessions, shows a filled/active state. Share: native share sheet on mobile, copy-link + toast on desktop, shares the canonical URL.</t>
  </si>
  <si>
    <t xml:space="preserve">Live DOM: non-anchor controls.</t>
  </si>
  <si>
    <t xml:space="preserve">HR-PL-026</t>
  </si>
  <si>
    <t xml:space="preserve">Talk to a property expert — form</t>
  </si>
  <si>
    <t xml:space="preserve">Phone-only lead form needs validation and delivery verification</t>
  </si>
  <si>
    <t xml:space="preserve">Functional / Lead capture</t>
  </si>
  <si>
    <t xml:space="preserve">1. Submit the form empty
2. Enter '12345' and submit
3. Enter a 10-digit number with letters mixed in
4. Enter a valid 10-digit number and submit
5. Submit the same number twice
6. On mobile, tap the phone field and confirm the numeric keypad opens
7. Confirm the lead reaches the CRM/inbox with the correct project attribution</t>
  </si>
  <si>
    <t xml:space="preserve">The form takes a +91-prefixed phone and 'Request a call back →' with the consent line 'By continuing you agree to be contacted by Homz Realtor.' Validation rules, error messaging, success state, duplicate handling, spam protection and lead attribution to 'M3M Route 65' all need end-to-end confirmation. This is the page's primary conversion path.</t>
  </si>
  <si>
    <t xml:space="preserve">Rejects anything that is not a valid 10-digit Indian mobile with an inline error; inputmode='tel' so the numeric keypad opens; visible loading and success states; lead delivered with project name, source URL and timestamp; the consent line links to a privacy policy (see HR-HP-028).</t>
  </si>
  <si>
    <t xml:space="preserve">Live DOM: +91 prefix, single phone input, submit control, consent text with no policy link.</t>
  </si>
  <si>
    <t xml:space="preserve">HR-PL-027</t>
  </si>
  <si>
    <t xml:space="preserve">Internal linking</t>
  </si>
  <si>
    <t xml:space="preserve">Sibling project links and compare links use two different city slugs</t>
  </si>
  <si>
    <t xml:space="preserve">SEO / Consistency</t>
  </si>
  <si>
    <t xml:space="preserve">1. Inspect 'More by M3M' card hrefs
2. Inspect the 'Compare with current project' hrefs beside them</t>
  </si>
  <si>
    <t xml:space="preserve">Cards link to /project-listing/ggn/m3m-soulitude while the compare links beside them use /project-listing/compare/gurgaon/... Two slug schemes in adjacent links on the same card, compounding HR-PL-003.</t>
  </si>
  <si>
    <t xml:space="preserve">One slug scheme across cards, compare links, breadcrumbs and sitemap.</t>
  </si>
  <si>
    <t xml:space="preserve">Live DOM: /ggn/ on cards, /gurgaon/ on compare links.</t>
  </si>
  <si>
    <t xml:space="preserve">HR-PL-028</t>
  </si>
  <si>
    <t xml:space="preserve">Compare links</t>
  </si>
  <si>
    <t xml:space="preserve">Project order in compare URLs is inconsistent, creating duplicate compare pages</t>
  </si>
  <si>
    <t xml:space="preserve">SEO / Routing</t>
  </si>
  <si>
    <t xml:space="preserve">1. Inspect the compare hrefs across 'More by M3M' and 'Similar Projects'</t>
  </si>
  <si>
    <t xml:space="preserve">Some place the current project first (/compare/gurgaon/m3m-route-65/m3m-soulitude), others place it second (/compare/gurgaon/m3m-corner-walk/m3m-route-65). Both orders describe the same comparison, so every pair can generate two indexable URLs with identical content.</t>
  </si>
  <si>
    <t xml:space="preserve">Normalise pair order (e.g. alphabetical) and 301 the reverse, or canonical the reverse to the normalised order.</t>
  </si>
  <si>
    <t xml:space="preserve">Live DOM: mixed ordering across 9 compare links.</t>
  </si>
  <si>
    <t xml:space="preserve">HR-PL-029</t>
  </si>
  <si>
    <t xml:space="preserve">What's Nearby</t>
  </si>
  <si>
    <t xml:space="preserve">Every POI category returns exactly 10 results — capped, implausible data</t>
  </si>
  <si>
    <t xml:space="preserve">Data quality</t>
  </si>
  <si>
    <t xml:space="preserve">1. Read "What's Nearby"</t>
  </si>
  <si>
    <t xml:space="preserve">All eight categories return exactly '10' (10 metro stations, 10 schools, 10 hospitals, 10 shopping centres, 10 supermarkets, 10 parks, 10 gyms, 10 restaurants). This is an API page-size limit being presented to the user as a real count. '10 metro stations' in the immediate neighbourhood of Sector 65 is not credible, and 'nearest shopping centre 9 m' / 'nearest restaurant 42 m' suggest an unfiltered radius.</t>
  </si>
  <si>
    <t xml:space="preserve">Either report a real count within a stated radius ('12 schools within 2 km'), or drop the counts and simply list the nearest 3-5 per category with distances.</t>
  </si>
  <si>
    <t xml:space="preserve">Live DOM: eight categories, all returning 10.</t>
  </si>
  <si>
    <t xml:space="preserve">HR-PL-030</t>
  </si>
  <si>
    <t xml:space="preserve">RERA</t>
  </si>
  <si>
    <t xml:space="preserve">RERA ID displayed as plain text with no verification link</t>
  </si>
  <si>
    <t xml:space="preserve">1. Read the RERA row: 'GGM/803/535/2024/30'
2. Read the FAQ: 'You can verify this on the official RERA portal'</t>
  </si>
  <si>
    <t xml:space="preserve">The FAQ tells users to verify on the RERA portal but provides no link, and the ID is not clickable or copyable. The 'RERA Registered' badge in the hero is also not linked.</t>
  </si>
  <si>
    <t xml:space="preserve">Link the RERA ID to the HRERA project record (or the portal search), open in a new tab, and add a copy-to-clipboard affordance.</t>
  </si>
  <si>
    <t xml:space="preserve">Live DOM: plain text RERA ID; FAQ mentions the portal with no href.</t>
  </si>
  <si>
    <t xml:space="preserve">HR-PL-031</t>
  </si>
  <si>
    <t xml:space="preserve">&lt;head&gt; — title vs content</t>
  </si>
  <si>
    <t xml:space="preserve">Title tag promises 'Floor Plan' and 'Reviews', neither of which exist on the page</t>
  </si>
  <si>
    <t xml:space="preserve">SEO / Expectation mismatch</t>
  </si>
  <si>
    <t xml:space="preserve">1. Read the title: 'M3M Route 65, Sector 65 Gurgaon: Price, Floor Plan &amp; Reviews | HomzRealtor'
2. Search the page for a floor plan and for reviews</t>
  </si>
  <si>
    <t xml:space="preserve">No floor plans are published (the Master Plan tab is empty — HR-PL-014) and there is no reviews or ratings section anywhere on the page. Users arriving from search for either term bounce immediately, which feeds back into ranking.</t>
  </si>
  <si>
    <t xml:space="preserve">Either publish floor plans and reviews, or align the title with what the page actually delivers ('Price, Payment Plan &amp; Location').</t>
  </si>
  <si>
    <t xml:space="preserve">Live &lt;head&gt; title vs rendered page content.</t>
  </si>
  <si>
    <t xml:space="preserve">SEO / Content</t>
  </si>
  <si>
    <t xml:space="preserve">HR-PL-032</t>
  </si>
  <si>
    <t xml:space="preserve">&lt;head&gt; — og:title</t>
  </si>
  <si>
    <t xml:space="preserve">og:title drops the brand suffix present in the title tag</t>
  </si>
  <si>
    <t xml:space="preserve">1. Compare &lt;title&gt; with og:title</t>
  </si>
  <si>
    <t xml:space="preserve">title ends '| HomzRealtor'; og:title does not. Shared links show an unbranded headline.</t>
  </si>
  <si>
    <t xml:space="preserve">Keep the brand suffix consistent across title, og:title and twitter:title.</t>
  </si>
  <si>
    <t xml:space="preserve">Live &lt;head&gt;.</t>
  </si>
  <si>
    <t xml:space="preserve">HR-PL-033</t>
  </si>
  <si>
    <t xml:space="preserve">Specifications</t>
  </si>
  <si>
    <t xml:space="preserve">Specifications section contains a single row</t>
  </si>
  <si>
    <t xml:space="preserve">1. Scroll to 'Specifications – M3M Route 65'
2. Expand 'Structure'</t>
  </si>
  <si>
    <t xml:space="preserve">The entire section contains one accordion ('Structure' -&gt; 'RCC Frame Structure'). A dedicated section heading for one four-word value is disproportionate and reads as unfinished.</t>
  </si>
  <si>
    <t xml:space="preserve">Populate flooring, walls, ceiling, doors/windows, electrical, HVAC and fittings — or fold the single value into the Overview table until the rest is available.</t>
  </si>
  <si>
    <t xml:space="preserve">Live DOM: one accordion item.</t>
  </si>
  <si>
    <t xml:space="preserve">HR-PL-034</t>
  </si>
  <si>
    <t xml:space="preserve">Investment tools</t>
  </si>
  <si>
    <t xml:space="preserve">Calculator tabs beyond EMI need verification</t>
  </si>
  <si>
    <t xml:space="preserve">1. Scroll to 'Investment tools'
2. Click the 'Rental Yield' tab
3. Click the 'Acquisition Cost' tab
4. In EMI, drag every slider to its minimum and maximum and confirm outputs recalculate</t>
  </si>
  <si>
    <t xml:space="preserve">Only the EMI panel's contents are confirmed present. Rental Yield and Acquisition Cost need verification that they render, compute, and handle edge inputs (0% down payment, 100% down payment, 1-year tenure, maximum interest rate). Note: EMI figures were independently recalculated and are arithmetically correct — ₹1.26 Cr at 8.5% over 20 years does yield ~₹1,09,693/month.</t>
  </si>
  <si>
    <t xml:space="preserve">All three tabs render and compute correctly; sliders update outputs live; no NaN, Infinity or negative values at range extremes; keyboard-operable sliders with aria-valuenow.</t>
  </si>
  <si>
    <t xml:space="preserve">Live DOM: three tabs, EMI panel content only.</t>
  </si>
  <si>
    <t xml:space="preserve">HR-PL-035</t>
  </si>
  <si>
    <t xml:space="preserve">In-page anchor CTAs</t>
  </si>
  <si>
    <t xml:space="preserve">Anchor CTAs must be verified against the sticky header offset</t>
  </si>
  <si>
    <t xml:space="preserve">UI / Navigation</t>
  </si>
  <si>
    <t xml:space="preserve">1. Click 'Site Visit' (#enquire)
2. Click 'Best Price' (#enquire)
3. Click 'View Gallery' (#gallery)
4. Click 'Enquire' in the sticky bottom bar
5. On each, check whether the target section's heading is hidden behind the sticky header + announcement bar</t>
  </si>
  <si>
    <t xml:space="preserve">The page has a sticky header plus a top announcement bar. Without scroll-margin-top on anchor targets, each jump lands with the section heading concealed behind ~100-120px of fixed chrome. Also confirm 'Site Visit' and 'Best Price' scroll somewhere meaningfully different — both point to the same #enquire target despite promising different things.</t>
  </si>
  <si>
    <t xml:space="preserve">Anchor targets carry scroll-margin-top equal to the fixed chrome height; the target heading is fully visible after the jump; scroll behaviour is smooth and focus moves to the target for keyboard users.</t>
  </si>
  <si>
    <t xml:space="preserve">Live DOM: href='#enquire' x2, href='#gallery'.</t>
  </si>
  <si>
    <t xml:space="preserve">HR-PL-036</t>
  </si>
  <si>
    <t xml:space="preserve">Overview</t>
  </si>
  <si>
    <t xml:space="preserve">'Read full overview →' expand control needs verification</t>
  </si>
  <si>
    <t xml:space="preserve">1. Click 'Read full overview →'
2. Confirm the text expands and a collapse control appears</t>
  </si>
  <si>
    <t xml:space="preserve">Given the full overview text already renders further down the page in the About section (HR-PL-005), this control may expand to show content the user has effectively already been shown.</t>
  </si>
  <si>
    <t xml:space="preserve">Control expands/collapses with aria-expanded, and does not duplicate content that is already visible elsewhere on the page.</t>
  </si>
  <si>
    <t xml:space="preserve">Live DOM: 'Read full overview →' control.</t>
  </si>
  <si>
    <t xml:space="preserve">These require a real browser on a real device. Each row states exactly what to test and what 'pass' looks like. Log failures back into the Bug Log tab.</t>
  </si>
  <si>
    <t xml:space="preserve">Check ID</t>
  </si>
  <si>
    <t xml:space="preserve">Area</t>
  </si>
  <si>
    <t xml:space="preserve">Check</t>
  </si>
  <si>
    <t xml:space="preserve">Viewport / Device</t>
  </si>
  <si>
    <t xml:space="preserve">How to Test</t>
  </si>
  <si>
    <t xml:space="preserve">VQ-001</t>
  </si>
  <si>
    <t xml:space="preserve">Both</t>
  </si>
  <si>
    <t xml:space="preserve">Layout</t>
  </si>
  <si>
    <t xml:space="preserve">No horizontal scroll / content overflow at any breakpoint</t>
  </si>
  <si>
    <t xml:space="preserve">320, 360, 375, 390, 414, 768, 1024, 1280, 1440, 1920</t>
  </si>
  <si>
    <t xml:space="preserve">At each width, scroll the full page and swipe/drag left-right. Also run: document.documentElement.scrollWidth &gt; window.innerWidth in the console.</t>
  </si>
  <si>
    <t xml:space="preserve">scrollWidth equals innerWidth at every breakpoint. No element bleeds past the viewport. High-risk candidates: the raw WhatsApp URL string (HR-HP-007), the configuration table, the schools table, the Gurgaon Sectors grid and the amenity chip rows.</t>
  </si>
  <si>
    <t xml:space="preserve">Not Started</t>
  </si>
  <si>
    <t xml:space="preserve">VQ-002</t>
  </si>
  <si>
    <t xml:space="preserve">Sticky elements</t>
  </si>
  <si>
    <t xml:space="preserve">Sticky bottom price bar does not obscure content or collide with the WhatsApp FAB</t>
  </si>
  <si>
    <t xml:space="preserve">iPhone SE 375x667, iPhone 14 Pro 393x852, Android 360x640, landscape</t>
  </si>
  <si>
    <t xml:space="preserve">Scroll to the absolute bottom of the page. Check the last FAQ answer and the footer are fully readable. Check the bar sits above the iOS home indicator. Check the WhatsApp floating button does not sit under or over the bar.</t>
  </si>
  <si>
    <t xml:space="preserve">Body has bottom padding equal to the sticky bar height; bar respects env(safe-area-inset-bottom); no overlap with the FAB; nothing is permanently obscured.</t>
  </si>
  <si>
    <t xml:space="preserve">VQ-003</t>
  </si>
  <si>
    <t xml:space="preserve">Sticky header</t>
  </si>
  <si>
    <t xml:space="preserve">Anchor jumps are not hidden behind the sticky header + announcement bar</t>
  </si>
  <si>
    <t xml:space="preserve">Click every in-page anchor: #enquire, #gallery, #consult, #faq. After each jump, check the target heading is visible.</t>
  </si>
  <si>
    <t xml:space="preserve">Target heading fully visible with breathing room. Implemented via scroll-margin-top on targets, not a JS offset hack.</t>
  </si>
  <si>
    <t xml:space="preserve">VQ-004</t>
  </si>
  <si>
    <t xml:space="preserve">Tap targets</t>
  </si>
  <si>
    <t xml:space="preserve">All interactive elements meet the 44x44 CSS px minimum</t>
  </si>
  <si>
    <t xml:space="preserve">Mobile only</t>
  </si>
  <si>
    <t xml:space="preserve">Measure: hero search tabs (Buy/Rent/Commercial/Plots), Featured Projects city filter tabs, Trending chips, Popular Search chips, carousel prev/next arrows, gallery tabs, Save/Share, FAQ accordion rows, investment-tool tabs, Specifications accordion.</t>
  </si>
  <si>
    <t xml:space="preserve">Every target is at least 44x44 CSS px with at least 8px spacing between adjacent targets. Carousel arrows and filter chips are the highest-risk items.</t>
  </si>
  <si>
    <t xml:space="preserve">VQ-005</t>
  </si>
  <si>
    <t xml:space="preserve">Colour contrast</t>
  </si>
  <si>
    <t xml:space="preserve">Text meets WCAG AA contrast against its background</t>
  </si>
  <si>
    <t xml:space="preserve">Run axe DevTools / Lighthouse accessibility audit. Manually check: hero headline and subcopy over the background image, the '#1 Trusted Property Platform' eyebrow, badge text (New Launch, Commercial, Under Construction, RERA Registered), 'Selling fast · Limited-time pricing', muted disclaimer text under the EMI calculator and Investment Score.</t>
  </si>
  <si>
    <t xml:space="preserve">4.5:1 for body text, 3:1 for text 18pt+/14pt bold and for UI component boundaries. Hero text over a photographic background needs a scrim or overlay to guarantee the ratio at every image crop.</t>
  </si>
  <si>
    <t xml:space="preserve">VQ-006</t>
  </si>
  <si>
    <t xml:space="preserve">Hero legibility</t>
  </si>
  <si>
    <t xml:space="preserve">Hero text remains legible across all image crops</t>
  </si>
  <si>
    <t xml:space="preserve">320 to 1920, portrait and landscape</t>
  </si>
  <si>
    <t xml:space="preserve">At each width, check where the background image crop places light and dark regions relative to the headline, subcopy and search bar.</t>
  </si>
  <si>
    <t xml:space="preserve">Text remains legible at every crop. Use a gradient scrim rather than relying on the image's own tonality.</t>
  </si>
  <si>
    <t xml:space="preserve">VQ-007</t>
  </si>
  <si>
    <t xml:space="preserve">Keyboard navigation</t>
  </si>
  <si>
    <t xml:space="preserve">Full page operable by keyboard with visible focus</t>
  </si>
  <si>
    <t xml:space="preserve">Desktop</t>
  </si>
  <si>
    <t xml:space="preserve">Tab from the top of the page to the bottom without touching the mouse. Note focus order, any focus trap, any invisible focus, and whether the mobile menu can be opened and closed with the keyboard.</t>
  </si>
  <si>
    <t xml:space="preserve">Logical focus order matching visual order (NOTE: expected to FAIL on the project page — see HR-PL-001, where the footer precedes the body content in the DOM). Every interactive element shows a clear focus ring. Escape closes menus/modals. No keyboard traps.</t>
  </si>
  <si>
    <t xml:space="preserve">VQ-008</t>
  </si>
  <si>
    <t xml:space="preserve">Screen reader</t>
  </si>
  <si>
    <t xml:space="preserve">Page is coherent via VoiceOver (iOS) and TalkBack (Android)</t>
  </si>
  <si>
    <t xml:space="preserve">Mobile</t>
  </si>
  <si>
    <t xml:space="preserve">Navigate the full page by heading and by element. Note announcement of images, buttons, form fields, accordions and tabs.</t>
  </si>
  <si>
    <t xml:space="preserve">All images have meaningful alt or are correctly marked decorative; buttons announce their purpose; accordions expose aria-expanded; tabs use the tablist/tab/tabpanel pattern; form fields have programmatic labels. Known failures: HR-HP-017, HR-PL-015, HR-HP-030, HR-PL-001.</t>
  </si>
  <si>
    <t xml:space="preserve">VQ-009</t>
  </si>
  <si>
    <t xml:space="preserve">Mobile menu</t>
  </si>
  <si>
    <t xml:space="preserve">Hamburger menu opens, closes and locks body scroll</t>
  </si>
  <si>
    <t xml:space="preserve">Tap Menu. Scroll behind the open panel. Tap a link. Tap outside the panel. Press Escape. Rotate to landscape while open.</t>
  </si>
  <si>
    <t xml:space="preserve">Panel opens over the page, background scroll is locked, tapping a link navigates and closes the panel, tapping outside and pressing Escape both close it, focus is trapped inside while open and returns to the trigger on close.</t>
  </si>
  <si>
    <t xml:space="preserve">VQ-010</t>
  </si>
  <si>
    <t xml:space="preserve">Carousels / swipe</t>
  </si>
  <si>
    <t xml:space="preserve">Touch swipe works on all sliders</t>
  </si>
  <si>
    <t xml:space="preserve">Swipe the Discover carousel, the Testimonials carousel, the Latest Launches row and the project Gallery. Also test with the on-screen arrows.</t>
  </si>
  <si>
    <t xml:space="preserve">Native-feeling swipe with momentum; arrows and swipe stay in sync; no vertical scroll hijacking; slide position is announced to assistive tech. Cross-check HR-HP-014 (duplicate slide) and HR-HP-015 (arrow direction).</t>
  </si>
  <si>
    <t xml:space="preserve">VQ-011</t>
  </si>
  <si>
    <t xml:space="preserve">Tables</t>
  </si>
  <si>
    <t xml:space="preserve">Wide tables handle small viewports gracefully</t>
  </si>
  <si>
    <t xml:space="preserve">320, 360, 375</t>
  </si>
  <si>
    <t xml:space="preserve">Inspect the Configuration-wise Pricing table (4 columns) and the Schools table (2 columns) on the narrowest supported width.</t>
  </si>
  <si>
    <t xml:space="preserve">Either the table scrolls horizontally within its own container with a visible affordance, or it reflows to stacked cards. It must not force the whole page to scroll horizontally (see VQ-001).</t>
  </si>
  <si>
    <t xml:space="preserve">VQ-012</t>
  </si>
  <si>
    <t xml:space="preserve">Charts</t>
  </si>
  <si>
    <t xml:space="preserve">Charts render and remain readable on mobile</t>
  </si>
  <si>
    <t xml:space="preserve">Check 'Asking Price per Sq.Ft. by Unit Type', 'Starting Price vs Gurgaon Market', 'Projected Price Journey' and the homepage Homz Intelligence sparkline.</t>
  </si>
  <si>
    <t xml:space="preserve">Charts resize to the container, axis labels do not overlap or truncate (see HR-HP-021), values are also available as text for screen-reader users, and touch tooltips work.</t>
  </si>
  <si>
    <t xml:space="preserve">VQ-013</t>
  </si>
  <si>
    <t xml:space="preserve">Text truncation</t>
  </si>
  <si>
    <t xml:space="preserve">Long strings truncate cleanly rather than breaking layout</t>
  </si>
  <si>
    <t xml:space="preserve">320, 360</t>
  </si>
  <si>
    <t xml:space="preserve">Check long project names ('ATS Homekraft Bonheur Hub', 'Central Park The Selene Tower'), the long school name 'Pragyanam School- Sector 65 | Best CBSE-Affiliated School in Gurugram', the amenity chip 'CCTV / Video Surveillance', and the raw WhatsApp URL.</t>
  </si>
  <si>
    <t xml:space="preserve">Clean single- or two-line truncation with ellipsis and a title/aria-label carrying the full string. No mid-word breaks that change meaning, no overflow, no overlapping siblings.</t>
  </si>
  <si>
    <t xml:space="preserve">VQ-014</t>
  </si>
  <si>
    <t xml:space="preserve">Zoom / text scaling</t>
  </si>
  <si>
    <t xml:space="preserve">Layout survives 200% browser zoom and OS-level large text</t>
  </si>
  <si>
    <t xml:space="preserve">Set browser zoom to 200% and reflow at 400%. On iOS set Larger Text to maximum; on Android set Font size to largest.</t>
  </si>
  <si>
    <t xml:space="preserve">No content loss, no overlap, no horizontal scroll at 320 CSS px equivalent. WCAG 1.4.4 and 1.4.10.</t>
  </si>
  <si>
    <t xml:space="preserve">VQ-015</t>
  </si>
  <si>
    <t xml:space="preserve">Loading / CLS</t>
  </si>
  <si>
    <t xml:space="preserve">No layout shift as images and fonts load</t>
  </si>
  <si>
    <t xml:space="preserve">Mobile, Fast 3G throttle</t>
  </si>
  <si>
    <t xml:space="preserve">Hard-reload with cache disabled on Fast 3G. Record and measure Cumulative Layout Shift in Lighthouse.</t>
  </si>
  <si>
    <t xml:space="preserve">CLS &lt; 0.1. Every image has explicit width/height or an aspect-ratio box; fonts use font-display: swap with a metric-matched fallback; the sticky bar and announcement bar are reserved in the initial layout.</t>
  </si>
  <si>
    <t xml:space="preserve">VQ-016</t>
  </si>
  <si>
    <t xml:space="preserve">Core Web Vitals pass on mobile</t>
  </si>
  <si>
    <t xml:space="preserve">Mobile, Fast 3G / mid-tier Android</t>
  </si>
  <si>
    <t xml:space="preserve">Run Lighthouse mobile on both URLs. Record LCP, CLS, INP, TBT and total transfer size.</t>
  </si>
  <si>
    <t xml:space="preserve">LCP &lt; 2.5s, CLS &lt; 0.1, INP &lt; 200ms. Expected to FAIL initially — see HR-HP-019 (3840px PNGs) and HR-PL-005 (duplicated content roughly doubling DOM size).</t>
  </si>
  <si>
    <t xml:space="preserve">VQ-017</t>
  </si>
  <si>
    <t xml:space="preserve">Third-party image failure</t>
  </si>
  <si>
    <t xml:space="preserve">Page degrades gracefully when squareyards.com assets fail</t>
  </si>
  <si>
    <t xml:space="preserve">Block static.squareyards.com in DevTools &gt; Network request blocking, then reload the project page.</t>
  </si>
  <si>
    <t xml:space="preserve">A branded placeholder renders in place of the hero and gallery images with correct dimensions preserved. The page must not collapse or show a broken-image icon. See HR-PL-012.</t>
  </si>
  <si>
    <t xml:space="preserve">VQ-018</t>
  </si>
  <si>
    <t xml:space="preserve">Empty / error states</t>
  </si>
  <si>
    <t xml:space="preserve">Sections handle missing data without rendering blank</t>
  </si>
  <si>
    <t xml:space="preserve">Throttle the network to Offline mid-scroll. Load a project with no gallery, no amenities and no configurations.</t>
  </si>
  <si>
    <t xml:space="preserve">Every data-driven section shows a skeleton while loading, a designed empty state when there is no data, and a retry affordance on error. Never a bare heading over emptiness (see HR-HP-002, HR-PL-006).</t>
  </si>
  <si>
    <t xml:space="preserve">VQ-019</t>
  </si>
  <si>
    <t xml:space="preserve">Forms</t>
  </si>
  <si>
    <t xml:space="preserve">Mobile input ergonomics and error states</t>
  </si>
  <si>
    <t xml:space="preserve">Tap each form field. Check the keyboard type that opens, whether the field is scrolled into view above the keyboard, whether the submit button remains reachable, and how errors are displayed.</t>
  </si>
  <si>
    <t xml:space="preserve">Phone fields use inputmode='tel' and open the numeric keypad; email fields use type='email'; the focused field is never hidden behind the keyboard; errors appear inline next to the field, not only as a toast; the submit button shows a disabled/loading state during submission.</t>
  </si>
  <si>
    <t xml:space="preserve">VQ-020</t>
  </si>
  <si>
    <t xml:space="preserve">Accordions / tabs</t>
  </si>
  <si>
    <t xml:space="preserve">Expand-collapse components behave correctly</t>
  </si>
  <si>
    <t xml:space="preserve">Open and close every FAQ item on both pages, the Specifications accordion, the gallery tabs, the investment-tool tabs and the Featured Projects city tabs. Test rapid repeated taps.</t>
  </si>
  <si>
    <t xml:space="preserve">Smooth expand/collapse with no layout jump; correct aria-expanded and aria-controls; only the active tab panel is in the accessible tree; rapid tapping does not desynchronise state; the '+' indicator flips to '−' when open.</t>
  </si>
  <si>
    <t xml:space="preserve">VQ-021</t>
  </si>
  <si>
    <t xml:space="preserve">Cross-browser</t>
  </si>
  <si>
    <t xml:space="preserve">Consistent rendering across the browser matrix</t>
  </si>
  <si>
    <t xml:space="preserve">Chrome + Safari (iOS), Chrome (Android), Chrome/Safari/Firefox/Edge (Desktop)</t>
  </si>
  <si>
    <t xml:space="preserve">Run the full smoke path on each browser. Pay particular attention to Safari iOS for sticky positioning, 100vh handling, backdrop-filter and gap support in flex layouts.</t>
  </si>
  <si>
    <t xml:space="preserve">No browser-specific breakage. Safari iOS is the highest-risk target for the sticky bar (VQ-002) and any 100vh hero sizing.</t>
  </si>
  <si>
    <t xml:space="preserve">VQ-022</t>
  </si>
  <si>
    <t xml:space="preserve">Dark mode / forced colours</t>
  </si>
  <si>
    <t xml:space="preserve">Page remains usable under OS dark mode and Windows High Contrast</t>
  </si>
  <si>
    <t xml:space="preserve">Enable OS dark mode and reload. Enable Windows High Contrast Mode on desktop.</t>
  </si>
  <si>
    <t xml:space="preserve">Either a proper dark theme, or the light theme is explicitly locked via colour-scheme so nothing renders as dark-on-dark. No text disappears under forced colours.</t>
  </si>
  <si>
    <t xml:space="preserve">VQ-023</t>
  </si>
  <si>
    <t xml:space="preserve">Analytics / tracking</t>
  </si>
  <si>
    <t xml:space="preserve">Every CTA fires a distinguishable event</t>
  </si>
  <si>
    <t xml:space="preserve">With the analytics debugger open, click every CTA: hero Search, Trending chips, Talk to a Local Expert, Schedule Site Visit, all WhatsApp buttons, Site Visit, Best Price, Enquire, Request a call back, Save, Share.</t>
  </si>
  <si>
    <t xml:space="preserve">Each CTA fires a uniquely named event with page, section and project context. WhatsApp clicks are tracked as outbound conversions. Form submissions fire a distinct conversion event. Without this, none of the CTA bugs above can be measured post-fix.</t>
  </si>
  <si>
    <t xml:space="preserve">VQ-024</t>
  </si>
  <si>
    <t xml:space="preserve">Structured data</t>
  </si>
  <si>
    <t xml:space="preserve">Schema markup validates</t>
  </si>
  <si>
    <t xml:space="preserve">N/A</t>
  </si>
  <si>
    <t xml:space="preserve">Run both URLs through the Google Rich Results Test and the Schema.org validator.</t>
  </si>
  <si>
    <t xml:space="preserve">BreadcrumbList matching the visible breadcrumb, FAQPage matching the visible FAQ, Product/RealEstateListing or Residence with price and offers, and Organization on the homepage. All must validate with no errors and must not contradict the canonical issues in HR-PL-003.</t>
  </si>
  <si>
    <t xml:space="preserve">VQ-025</t>
  </si>
  <si>
    <t xml:space="preserve">Indexability</t>
  </si>
  <si>
    <t xml:space="preserve">Pages are crawlable and correctly represented</t>
  </si>
  <si>
    <t xml:space="preserve">Check robots.txt, the XML sitemap, and run URL Inspection in Search Console for both URLs. Confirm the /ggn/ and /gurgaon/ variants.</t>
  </si>
  <si>
    <t xml:space="preserve">Both URLs are indexable, present in the sitemap under the single canonical scheme, render fully server-side, and return 200. The duplicate slug variant returns a 301 to the canonical.</t>
  </si>
  <si>
    <t xml:space="preserve">TEST ENVIRONMENT &amp; COVERAGE MATRIX</t>
  </si>
  <si>
    <t xml:space="preserve">Device / viewport matrix</t>
  </si>
  <si>
    <t xml:space="preserve">iPhone SE (2nd/3rd gen)</t>
  </si>
  <si>
    <t xml:space="preserve">375 x 667 — smallest supported iOS viewport, highest overflow risk</t>
  </si>
  <si>
    <t xml:space="preserve">iPhone 14 / 15 / 16</t>
  </si>
  <si>
    <t xml:space="preserve">393 x 852 — safe-area inset, Dynamic Island</t>
  </si>
  <si>
    <t xml:space="preserve">iPhone 15 Pro Max</t>
  </si>
  <si>
    <t xml:space="preserve">430 x 932</t>
  </si>
  <si>
    <t xml:space="preserve">Android small</t>
  </si>
  <si>
    <t xml:space="preserve">360 x 640 — most common Android viewport in India</t>
  </si>
  <si>
    <t xml:space="preserve">Android mid</t>
  </si>
  <si>
    <t xml:space="preserve">412 x 915 — Pixel / mid-tier Samsung</t>
  </si>
  <si>
    <t xml:space="preserve">Tablet portrait</t>
  </si>
  <si>
    <t xml:space="preserve">768 x 1024 — iPad</t>
  </si>
  <si>
    <t xml:space="preserve">Tablet landscape</t>
  </si>
  <si>
    <t xml:space="preserve">1024 x 768</t>
  </si>
  <si>
    <t xml:space="preserve">Laptop</t>
  </si>
  <si>
    <t xml:space="preserve">1280 x 800 and 1440 x 900</t>
  </si>
  <si>
    <t xml:space="preserve">1920 x 1080</t>
  </si>
  <si>
    <t xml:space="preserve">Ultra-wide</t>
  </si>
  <si>
    <t xml:space="preserve">2560 x 1440 — check max-width containment</t>
  </si>
  <si>
    <t xml:space="preserve">Browser matrix</t>
  </si>
  <si>
    <t xml:space="preserve">Safari iOS (latest and latest-1), Chrome iOS, Chrome Android, Samsung Internet</t>
  </si>
  <si>
    <t xml:space="preserve">Chrome, Safari, Firefox, Edge (all latest and latest-1)</t>
  </si>
  <si>
    <t xml:space="preserve">Highest risk</t>
  </si>
  <si>
    <t xml:space="preserve">Safari iOS — sticky positioning, 100vh, safe-area insets, backdrop-filter</t>
  </si>
  <si>
    <t xml:space="preserve">Network conditions</t>
  </si>
  <si>
    <t xml:space="preserve">Primary</t>
  </si>
  <si>
    <t xml:space="preserve">Fast 3G throttle on a mid-tier Android — representative of the actual Indian mobile buyer</t>
  </si>
  <si>
    <t xml:space="preserve">Secondary</t>
  </si>
  <si>
    <t xml:space="preserve">Slow 4G, WiFi, and Offline (for error-state handling)</t>
  </si>
  <si>
    <t xml:space="preserve">Tooling</t>
  </si>
  <si>
    <t xml:space="preserve">axe DevTools, Lighthouse a11y audit, VoiceOver (iOS), TalkBack (Android), keyboard-only pass</t>
  </si>
  <si>
    <t xml:space="preserve">Lighthouse mobile, WebPageTest (Mumbai node), Chrome DevTools Performance panel</t>
  </si>
  <si>
    <t xml:space="preserve">Google Search Console URL Inspection, Rich Results Test, Screaming Frog crawl</t>
  </si>
  <si>
    <t xml:space="preserve">Contrast</t>
  </si>
  <si>
    <t xml:space="preserve">axe, Stark, or Chrome DevTools contrast checker</t>
  </si>
  <si>
    <t xml:space="preserve">Responsive</t>
  </si>
  <si>
    <t xml:space="preserve">Chrome DevTools device toolbar + at least one real physical device per OS</t>
  </si>
  <si>
    <t xml:space="preserve">Out of scope for this pass</t>
  </si>
  <si>
    <t xml:space="preserve">Authenticated flows</t>
  </si>
  <si>
    <t xml:space="preserve">Login / Sign Up were not exercised — no test credentials available</t>
  </si>
  <si>
    <t xml:space="preserve">Other project pages</t>
  </si>
  <si>
    <t xml:space="preserve">Only M3M Route 65 was audited. Several defects (canonical scheme, meta truncation,</t>
  </si>
  <si>
    <t xml:space="preserve">empty section headings, hotlinked imagery, amenity counts) are almost certainly template-level</t>
  </si>
  <si>
    <t xml:space="preserve">and will replicate across every project page. Regression-test a sample of 5-10 after fixes.</t>
  </si>
  <si>
    <t xml:space="preserve">Other page types</t>
  </si>
  <si>
    <t xml:space="preserve">/about-us, /developer, /project-listing, /buy-property, /rent-property, /commercial,</t>
  </si>
  <si>
    <t xml:space="preserve">/plots-and-lands and the /compare routes were not audited.</t>
  </si>
  <si>
    <t xml:space="preserve">Backend / lead delivery</t>
  </si>
  <si>
    <t xml:space="preserve">CRM integration and lead attribution require access to confirm end to end.</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</si>
</sst>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sz val="10"/>
      <name val="Arial"/>
      <family val="0"/>
      <charset val="1"/>
    </font>
    <font>
      <b val="true"/>
      <sz val="10"/>
      <name val="Arial"/>
      <family val="0"/>
      <charset val="1"/>
    </font>
    <font>
      <b val="true"/>
      <sz val="10"/>
      <color rgb="FFFFFFFF"/>
      <name val="Arial"/>
      <family val="0"/>
      <charset val="1"/>
    </font>
  </fonts>
  <fills count="9">
    <fill>
      <patternFill patternType="none"/>
    </fill>
    <fill>
      <patternFill patternType="gray125"/>
    </fill>
    <fill>
      <patternFill patternType="solid">
        <fgColor rgb="FFF2F2F2"/>
        <bgColor rgb="FFE2EFDA"/>
      </patternFill>
    </fill>
    <fill>
      <patternFill patternType="solid">
        <fgColor rgb="FF1F3864"/>
        <bgColor rgb="FF333333"/>
      </patternFill>
    </fill>
    <fill>
      <patternFill patternType="solid">
        <fgColor rgb="FFFFC7CE"/>
        <bgColor rgb="FFFFD9A0"/>
      </patternFill>
    </fill>
    <fill>
      <patternFill patternType="solid">
        <fgColor rgb="FFFFD9A0"/>
        <bgColor rgb="FFFFC7CE"/>
      </patternFill>
    </fill>
    <fill>
      <patternFill patternType="solid">
        <fgColor rgb="FFFFF2CC"/>
        <bgColor rgb="FFF2F2F2"/>
      </patternFill>
    </fill>
    <fill>
      <patternFill patternType="solid">
        <fgColor rgb="FFDDEBF7"/>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FC7CE"/>
          <bgColor rgb="FF000000"/>
        </patternFill>
      </fill>
    </dxf>
    <dxf>
      <fill>
        <patternFill patternType="solid">
          <fgColor rgb="FFFFD9A0"/>
          <bgColor rgb="FF000000"/>
        </patternFill>
      </fill>
    </dxf>
    <dxf>
      <fill>
        <patternFill patternType="solid">
          <fgColor rgb="FFFFF2CC"/>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D9A0"/>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row>
    <row r="9" customFormat="false" ht="15" hidden="false" customHeight="false" outlineLevel="0" collapsed="false">
      <c r="A9" s="4"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row>
    <row r="19" customFormat="false" ht="15" hidden="false" customHeight="false" outlineLevel="0" collapsed="false">
      <c r="A19" s="3"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row>
    <row r="23" customFormat="false" ht="15" hidden="false" customHeight="false" outlineLevel="0" collapsed="false">
      <c r="A23" s="4" t="s">
        <v>17</v>
      </c>
    </row>
    <row r="24" customFormat="false" ht="15" hidden="false" customHeight="false" outlineLevel="0" collapsed="false">
      <c r="A24" s="3" t="s">
        <v>18</v>
      </c>
    </row>
    <row r="25" customFormat="false" ht="15" hidden="false" customHeight="false" outlineLevel="0" collapsed="false">
      <c r="A25" s="3" t="s">
        <v>19</v>
      </c>
    </row>
    <row r="26" customFormat="false" ht="15" hidden="false" customHeight="false" outlineLevel="0" collapsed="false">
      <c r="A26" s="3" t="s">
        <v>20</v>
      </c>
    </row>
    <row r="27" customFormat="false" ht="15" hidden="false" customHeight="false" outlineLevel="0" collapsed="false">
      <c r="A27" s="3" t="s">
        <v>21</v>
      </c>
    </row>
    <row r="28" customFormat="false" ht="15" hidden="false" customHeight="false" outlineLevel="0" collapsed="false">
      <c r="A28" s="3"/>
    </row>
    <row r="29" customFormat="false" ht="15" hidden="false" customHeight="false" outlineLevel="0" collapsed="false">
      <c r="A29" s="4" t="s">
        <v>22</v>
      </c>
    </row>
    <row r="30" customFormat="false" ht="15" hidden="false" customHeight="false" outlineLevel="0" collapsed="false">
      <c r="A30" s="3" t="s">
        <v>23</v>
      </c>
    </row>
    <row r="31" customFormat="false" ht="15" hidden="false" customHeight="false" outlineLevel="0" collapsed="false">
      <c r="A31" s="3" t="s">
        <v>24</v>
      </c>
    </row>
    <row r="32" customFormat="false" ht="15" hidden="false" customHeight="false" outlineLevel="0" collapsed="false">
      <c r="A32" s="3" t="s">
        <v>25</v>
      </c>
    </row>
    <row r="33" customFormat="false" ht="15" hidden="false" customHeight="false" outlineLevel="0" collapsed="false">
      <c r="A33" s="3"/>
    </row>
    <row r="34" customFormat="false" ht="15" hidden="false" customHeight="false" outlineLevel="0" collapsed="false">
      <c r="A34" s="4" t="s">
        <v>26</v>
      </c>
    </row>
    <row r="35" customFormat="false" ht="15" hidden="false" customHeight="false" outlineLevel="0" collapsed="false">
      <c r="A35" s="3" t="s">
        <v>27</v>
      </c>
    </row>
    <row r="36" customFormat="false" ht="15" hidden="false" customHeight="false" outlineLevel="0" collapsed="false">
      <c r="A36" s="3" t="s">
        <v>28</v>
      </c>
    </row>
    <row r="37" customFormat="false" ht="15" hidden="false" customHeight="false" outlineLevel="0" collapsed="false">
      <c r="A37" s="3" t="s">
        <v>29</v>
      </c>
    </row>
    <row r="38" customFormat="false" ht="15" hidden="false" customHeight="false" outlineLevel="0" collapsed="false">
      <c r="A38" s="3" t="s">
        <v>30</v>
      </c>
    </row>
    <row r="39" customFormat="false" ht="15" hidden="false" customHeight="false" outlineLevel="0" collapsed="false">
      <c r="A39" s="3" t="s">
        <v>31</v>
      </c>
    </row>
    <row r="40" customFormat="false" ht="15" hidden="false" customHeight="false" outlineLevel="0" collapsed="false">
      <c r="A40" s="3" t="s">
        <v>32</v>
      </c>
    </row>
    <row r="41" customFormat="false" ht="15" hidden="false" customHeight="false" outlineLevel="0" collapsed="false">
      <c r="A41" s="3"/>
    </row>
    <row r="42" customFormat="false" ht="15" hidden="false" customHeight="false" outlineLevel="0" collapsed="false">
      <c r="A42" s="4" t="s">
        <v>33</v>
      </c>
    </row>
    <row r="43" customFormat="false" ht="15" hidden="false" customHeight="false" outlineLevel="0" collapsed="false">
      <c r="A43" s="3"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s>
  <sheetData>
    <row r="1" customFormat="false" ht="17.35" hidden="false" customHeight="false" outlineLevel="0" collapsed="false">
      <c r="A1" s="1" t="s">
        <v>35</v>
      </c>
    </row>
    <row r="3" customFormat="false" ht="15" hidden="false" customHeight="false" outlineLevel="0" collapsed="false">
      <c r="A3" s="5" t="s">
        <v>36</v>
      </c>
    </row>
    <row r="4" customFormat="false" ht="15" hidden="false" customHeight="false" outlineLevel="0" collapsed="false">
      <c r="A4" s="6" t="s">
        <v>37</v>
      </c>
      <c r="B4" s="6" t="s">
        <v>38</v>
      </c>
      <c r="C4" s="6" t="s">
        <v>39</v>
      </c>
      <c r="D4" s="6" t="s">
        <v>40</v>
      </c>
      <c r="E4" s="6" t="s">
        <v>41</v>
      </c>
    </row>
    <row r="5" customFormat="false" ht="15" hidden="false" customHeight="false" outlineLevel="0" collapsed="false">
      <c r="A5" s="7" t="s">
        <v>42</v>
      </c>
      <c r="B5" s="8" t="n">
        <f aca="false">COUNTIFS('Bug Log'!$B:$B,"Homepage — homzrealtor.com/",'Bug Log'!$E:$E,$A5)</f>
        <v>3</v>
      </c>
      <c r="C5" s="8" t="n">
        <f aca="false">COUNTIFS('Bug Log'!$B:$B,"Project Detail — /project-listing/ggn/m3m-route-65",'Bug Log'!$E:$E,$A5)</f>
        <v>4</v>
      </c>
      <c r="D5" s="8" t="n">
        <f aca="false">COUNTIFS('Bug Log'!$B:$B,"Both pages",'Bug Log'!$E:$E,$A5)</f>
        <v>0</v>
      </c>
      <c r="E5" s="8" t="n">
        <f aca="false">SUM(B5:D5)</f>
        <v>7</v>
      </c>
    </row>
    <row r="6" customFormat="false" ht="15" hidden="false" customHeight="false" outlineLevel="0" collapsed="false">
      <c r="A6" s="9" t="s">
        <v>43</v>
      </c>
      <c r="B6" s="8" t="n">
        <f aca="false">COUNTIFS('Bug Log'!$B:$B,"Homepage — homzrealtor.com/",'Bug Log'!$E:$E,$A6)</f>
        <v>13</v>
      </c>
      <c r="C6" s="8" t="n">
        <f aca="false">COUNTIFS('Bug Log'!$B:$B,"Project Detail — /project-listing/ggn/m3m-route-65",'Bug Log'!$E:$E,$A6)</f>
        <v>12</v>
      </c>
      <c r="D6" s="8" t="n">
        <f aca="false">COUNTIFS('Bug Log'!$B:$B,"Both pages",'Bug Log'!$E:$E,$A6)</f>
        <v>0</v>
      </c>
      <c r="E6" s="8" t="n">
        <f aca="false">SUM(B6:D6)</f>
        <v>25</v>
      </c>
    </row>
    <row r="7" customFormat="false" ht="15" hidden="false" customHeight="false" outlineLevel="0" collapsed="false">
      <c r="A7" s="10" t="s">
        <v>44</v>
      </c>
      <c r="B7" s="8" t="n">
        <f aca="false">COUNTIFS('Bug Log'!$B:$B,"Homepage — homzrealtor.com/",'Bug Log'!$E:$E,$A7)</f>
        <v>10</v>
      </c>
      <c r="C7" s="8" t="n">
        <f aca="false">COUNTIFS('Bug Log'!$B:$B,"Project Detail — /project-listing/ggn/m3m-route-65",'Bug Log'!$E:$E,$A7)</f>
        <v>11</v>
      </c>
      <c r="D7" s="8" t="n">
        <f aca="false">COUNTIFS('Bug Log'!$B:$B,"Both pages",'Bug Log'!$E:$E,$A7)</f>
        <v>0</v>
      </c>
      <c r="E7" s="8" t="n">
        <f aca="false">SUM(B7:D7)</f>
        <v>21</v>
      </c>
    </row>
    <row r="8" customFormat="false" ht="15" hidden="false" customHeight="false" outlineLevel="0" collapsed="false">
      <c r="A8" s="11" t="s">
        <v>45</v>
      </c>
      <c r="B8" s="8" t="n">
        <f aca="false">COUNTIFS('Bug Log'!$B:$B,"Homepage — homzrealtor.com/",'Bug Log'!$E:$E,$A8)</f>
        <v>4</v>
      </c>
      <c r="C8" s="8" t="n">
        <f aca="false">COUNTIFS('Bug Log'!$B:$B,"Project Detail — /project-listing/ggn/m3m-route-65",'Bug Log'!$E:$E,$A8)</f>
        <v>9</v>
      </c>
      <c r="D8" s="8" t="n">
        <f aca="false">COUNTIFS('Bug Log'!$B:$B,"Both pages",'Bug Log'!$E:$E,$A8)</f>
        <v>1</v>
      </c>
      <c r="E8" s="8" t="n">
        <f aca="false">SUM(B8:D8)</f>
        <v>14</v>
      </c>
    </row>
    <row r="9" customFormat="false" ht="15" hidden="false" customHeight="false" outlineLevel="0" collapsed="false">
      <c r="A9" s="12" t="s">
        <v>46</v>
      </c>
      <c r="B9" s="13" t="n">
        <f aca="false">SUM(B5:B8)</f>
        <v>30</v>
      </c>
      <c r="C9" s="13" t="n">
        <f aca="false">SUM(C5:C8)</f>
        <v>36</v>
      </c>
      <c r="D9" s="13" t="n">
        <f aca="false">SUM(D5:D8)</f>
        <v>1</v>
      </c>
      <c r="E9" s="13" t="n">
        <f aca="false">SUM(E5:E8)</f>
        <v>67</v>
      </c>
    </row>
    <row r="11" customFormat="false" ht="15" hidden="false" customHeight="false" outlineLevel="0" collapsed="false">
      <c r="A11" s="5" t="s">
        <v>47</v>
      </c>
    </row>
    <row r="12" customFormat="false" ht="15" hidden="false" customHeight="false" outlineLevel="0" collapsed="false">
      <c r="A12" s="6" t="s">
        <v>48</v>
      </c>
      <c r="B12" s="6" t="s">
        <v>49</v>
      </c>
    </row>
    <row r="13" customFormat="false" ht="15" hidden="false" customHeight="false" outlineLevel="0" collapsed="false">
      <c r="A13" s="7" t="s">
        <v>50</v>
      </c>
      <c r="B13" s="8" t="n">
        <f aca="false">COUNTIF('Bug Log'!$F:$F,$A13)</f>
        <v>30</v>
      </c>
    </row>
    <row r="14" customFormat="false" ht="15" hidden="false" customHeight="false" outlineLevel="0" collapsed="false">
      <c r="A14" s="10" t="s">
        <v>51</v>
      </c>
      <c r="B14" s="8" t="n">
        <f aca="false">COUNTIF('Bug Log'!$F:$F,$A14)</f>
        <v>23</v>
      </c>
    </row>
    <row r="15" customFormat="false" ht="15" hidden="false" customHeight="false" outlineLevel="0" collapsed="false">
      <c r="A15" s="14" t="s">
        <v>52</v>
      </c>
      <c r="B15" s="8" t="n">
        <f aca="false">COUNTIF('Bug Log'!$F:$F,$A15)</f>
        <v>14</v>
      </c>
    </row>
    <row r="17" customFormat="false" ht="15" hidden="false" customHeight="false" outlineLevel="0" collapsed="false">
      <c r="A17" s="5" t="s">
        <v>53</v>
      </c>
    </row>
    <row r="18" customFormat="false" ht="15" hidden="false" customHeight="false" outlineLevel="0" collapsed="false">
      <c r="A18" s="6" t="s">
        <v>54</v>
      </c>
      <c r="B18" s="6" t="s">
        <v>49</v>
      </c>
    </row>
    <row r="19" customFormat="false" ht="15" hidden="false" customHeight="false" outlineLevel="0" collapsed="false">
      <c r="A19" s="15" t="s">
        <v>55</v>
      </c>
      <c r="B19" s="8" t="n">
        <f aca="false">COUNTIF('Bug Log'!$G:$G,"*"&amp;$A19&amp;"*")</f>
        <v>15</v>
      </c>
    </row>
    <row r="20" customFormat="false" ht="15" hidden="false" customHeight="false" outlineLevel="0" collapsed="false">
      <c r="A20" s="15" t="s">
        <v>56</v>
      </c>
      <c r="B20" s="8" t="n">
        <f aca="false">COUNTIF('Bug Log'!$G:$G,"*"&amp;$A20&amp;"*")</f>
        <v>14</v>
      </c>
    </row>
    <row r="21" customFormat="false" ht="15" hidden="false" customHeight="false" outlineLevel="0" collapsed="false">
      <c r="A21" s="15" t="s">
        <v>57</v>
      </c>
      <c r="B21" s="8" t="n">
        <f aca="false">COUNTIF('Bug Log'!$G:$G,"*"&amp;$A21&amp;"*")</f>
        <v>19</v>
      </c>
    </row>
    <row r="22" customFormat="false" ht="15" hidden="false" customHeight="false" outlineLevel="0" collapsed="false">
      <c r="A22" s="15" t="s">
        <v>58</v>
      </c>
      <c r="B22" s="8" t="n">
        <f aca="false">COUNTIF('Bug Log'!$G:$G,"*"&amp;$A22&amp;"*")</f>
        <v>13</v>
      </c>
    </row>
    <row r="23" customFormat="false" ht="15" hidden="false" customHeight="false" outlineLevel="0" collapsed="false">
      <c r="A23" s="15" t="s">
        <v>59</v>
      </c>
      <c r="B23" s="8" t="n">
        <f aca="false">COUNTIF('Bug Log'!$G:$G,"*"&amp;$A23&amp;"*")</f>
        <v>7</v>
      </c>
    </row>
    <row r="24" customFormat="false" ht="15" hidden="false" customHeight="false" outlineLevel="0" collapsed="false">
      <c r="A24" s="15" t="s">
        <v>60</v>
      </c>
      <c r="B24" s="8" t="n">
        <f aca="false">COUNTIF('Bug Log'!$G:$G,"*"&amp;$A24&amp;"*")</f>
        <v>8</v>
      </c>
    </row>
    <row r="25" customFormat="false" ht="15" hidden="false" customHeight="false" outlineLevel="0" collapsed="false">
      <c r="A25" s="15" t="s">
        <v>61</v>
      </c>
      <c r="B25" s="8" t="n">
        <f aca="false">COUNTIF('Bug Log'!$G:$G,"*"&amp;$A25&amp;"*")</f>
        <v>1</v>
      </c>
    </row>
    <row r="26" customFormat="false" ht="15" hidden="false" customHeight="false" outlineLevel="0" collapsed="false">
      <c r="A26" s="15" t="s">
        <v>62</v>
      </c>
      <c r="B26" s="8" t="n">
        <f aca="false">COUNTIF('Bug Log'!$G:$G,"*"&amp;$A26&amp;"*")</f>
        <v>3</v>
      </c>
    </row>
    <row r="27" customFormat="false" ht="15" hidden="false" customHeight="false" outlineLevel="0" collapsed="false">
      <c r="A27" s="15" t="s">
        <v>63</v>
      </c>
      <c r="B27" s="8" t="n">
        <f aca="false">COUNTIF('Bug Log'!$G:$G,"*"&amp;$A27&amp;"*")</f>
        <v>1</v>
      </c>
    </row>
    <row r="28" customFormat="false" ht="15" hidden="false" customHeight="false" outlineLevel="0" collapsed="false">
      <c r="A28" s="2" t="s">
        <v>64</v>
      </c>
    </row>
    <row r="30" customFormat="false" ht="15" hidden="false" customHeight="false" outlineLevel="0" collapsed="false">
      <c r="A30" s="5" t="s">
        <v>65</v>
      </c>
    </row>
    <row r="31" customFormat="false" ht="15" hidden="false" customHeight="false" outlineLevel="0" collapsed="false">
      <c r="A31" s="6" t="s">
        <v>66</v>
      </c>
      <c r="B31" s="6" t="s">
        <v>67</v>
      </c>
      <c r="C31" s="6" t="s">
        <v>68</v>
      </c>
    </row>
    <row r="32" customFormat="false" ht="15" hidden="false" customHeight="false" outlineLevel="0" collapsed="false">
      <c r="A32" s="15" t="s">
        <v>69</v>
      </c>
      <c r="B32" s="8" t="n">
        <f aca="false">COUNTIF('Bug Log'!$N:$N,$A32)</f>
        <v>67</v>
      </c>
      <c r="C32" s="8" t="n">
        <f aca="false">COUNTIF('Visual QA Checklist'!$I:$I,$A32)</f>
        <v>0</v>
      </c>
    </row>
    <row r="33" customFormat="false" ht="15" hidden="false" customHeight="false" outlineLevel="0" collapsed="false">
      <c r="A33" s="15" t="s">
        <v>70</v>
      </c>
      <c r="B33" s="8" t="n">
        <f aca="false">COUNTIF('Bug Log'!$N:$N,$A33)</f>
        <v>0</v>
      </c>
      <c r="C33" s="8" t="n">
        <f aca="false">COUNTIF('Visual QA Checklist'!$I:$I,$A33)</f>
        <v>0</v>
      </c>
    </row>
    <row r="34" customFormat="false" ht="15" hidden="false" customHeight="false" outlineLevel="0" collapsed="false">
      <c r="A34" s="15" t="s">
        <v>71</v>
      </c>
      <c r="B34" s="8" t="n">
        <f aca="false">COUNTIF('Bug Log'!$N:$N,$A34)</f>
        <v>0</v>
      </c>
      <c r="C34" s="8" t="n">
        <f aca="false">COUNTIF('Visual QA Checklist'!$I:$I,$A34)</f>
        <v>0</v>
      </c>
    </row>
    <row r="35" customFormat="false" ht="15" hidden="false" customHeight="false" outlineLevel="0" collapsed="false">
      <c r="A35" s="15" t="s">
        <v>72</v>
      </c>
      <c r="B35" s="8" t="n">
        <f aca="false">COUNTIF('Bug Log'!$N:$N,$A35)</f>
        <v>0</v>
      </c>
      <c r="C35" s="8" t="n">
        <f aca="false">COUNTIF('Visual QA Checklist'!$I:$I,$A35)</f>
        <v>0</v>
      </c>
    </row>
    <row r="36" customFormat="false" ht="15" hidden="false" customHeight="false" outlineLevel="0" collapsed="false">
      <c r="A36" s="15" t="s">
        <v>73</v>
      </c>
      <c r="B36" s="8" t="n">
        <f aca="false">COUNTIF('Bug Log'!$N:$N,$A36)</f>
        <v>0</v>
      </c>
      <c r="C36" s="8" t="n">
        <f aca="false">COUNTIF('Visual QA Checklist'!$I:$I,$A36)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6"/>
    <col collapsed="false" customWidth="true" hidden="false" outlineLevel="0" max="4" min="4" style="0" width="44"/>
    <col collapsed="false" customWidth="true" hidden="false" outlineLevel="0" max="5" min="5" style="0" width="14"/>
    <col collapsed="false" customWidth="true" hidden="false" outlineLevel="0" max="6" min="6" style="0" width="9"/>
    <col collapsed="false" customWidth="true" hidden="false" outlineLevel="0" max="7" min="7" style="0" width="20"/>
    <col collapsed="false" customWidth="true" hidden="false" outlineLevel="0" max="8" min="8" style="0" width="16"/>
    <col collapsed="false" customWidth="true" hidden="false" outlineLevel="0" max="9" min="9" style="0" width="52"/>
    <col collapsed="false" customWidth="true" hidden="false" outlineLevel="0" max="10" min="10" style="0" width="60"/>
    <col collapsed="false" customWidth="true" hidden="false" outlineLevel="0" max="11" min="11" style="0" width="52"/>
    <col collapsed="false" customWidth="true" hidden="false" outlineLevel="0" max="12" min="12" style="0" width="46"/>
    <col collapsed="false" customWidth="true" hidden="false" outlineLevel="0" max="13" min="13" style="0" width="16"/>
    <col collapsed="false" customWidth="true" hidden="false" outlineLevel="0" max="14" min="14" style="0" width="13"/>
    <col collapsed="false" customWidth="true" hidden="false" outlineLevel="0" max="15" min="15" style="0" width="22"/>
  </cols>
  <sheetData>
    <row r="1" customFormat="false" ht="23.85" hidden="false" customHeight="false" outlineLevel="0" collapsed="false">
      <c r="A1" s="6" t="s">
        <v>74</v>
      </c>
      <c r="B1" s="6" t="s">
        <v>75</v>
      </c>
      <c r="C1" s="6" t="s">
        <v>76</v>
      </c>
      <c r="D1" s="6" t="s">
        <v>77</v>
      </c>
      <c r="E1" s="6" t="s">
        <v>37</v>
      </c>
      <c r="F1" s="6" t="s">
        <v>48</v>
      </c>
      <c r="G1" s="6" t="s">
        <v>78</v>
      </c>
      <c r="H1" s="6" t="s">
        <v>79</v>
      </c>
      <c r="I1" s="6" t="s">
        <v>80</v>
      </c>
      <c r="J1" s="6" t="s">
        <v>81</v>
      </c>
      <c r="K1" s="6" t="s">
        <v>82</v>
      </c>
      <c r="L1" s="6" t="s">
        <v>83</v>
      </c>
      <c r="M1" s="6" t="s">
        <v>84</v>
      </c>
      <c r="N1" s="6" t="s">
        <v>66</v>
      </c>
      <c r="O1" s="6" t="s">
        <v>85</v>
      </c>
    </row>
    <row r="2" customFormat="false" ht="117.75" hidden="false" customHeight="true" outlineLevel="0" collapsed="false">
      <c r="A2" s="8" t="s">
        <v>86</v>
      </c>
      <c r="B2" s="16" t="s">
        <v>87</v>
      </c>
      <c r="C2" s="16" t="s">
        <v>88</v>
      </c>
      <c r="D2" s="16" t="s">
        <v>89</v>
      </c>
      <c r="E2" s="17" t="s">
        <v>42</v>
      </c>
      <c r="F2" s="17" t="s">
        <v>50</v>
      </c>
      <c r="G2" s="16" t="s">
        <v>90</v>
      </c>
      <c r="H2" s="16" t="s">
        <v>91</v>
      </c>
      <c r="I2" s="16" t="s">
        <v>92</v>
      </c>
      <c r="J2" s="16" t="s">
        <v>93</v>
      </c>
      <c r="K2" s="16" t="s">
        <v>94</v>
      </c>
      <c r="L2" s="16" t="s">
        <v>95</v>
      </c>
      <c r="M2" s="16" t="s">
        <v>96</v>
      </c>
      <c r="N2" s="16" t="s">
        <v>69</v>
      </c>
      <c r="O2" s="16"/>
    </row>
    <row r="3" customFormat="false" ht="117.75" hidden="false" customHeight="true" outlineLevel="0" collapsed="false">
      <c r="A3" s="8" t="s">
        <v>97</v>
      </c>
      <c r="B3" s="16" t="s">
        <v>87</v>
      </c>
      <c r="C3" s="16" t="s">
        <v>98</v>
      </c>
      <c r="D3" s="16" t="s">
        <v>99</v>
      </c>
      <c r="E3" s="17" t="s">
        <v>42</v>
      </c>
      <c r="F3" s="17" t="s">
        <v>50</v>
      </c>
      <c r="G3" s="16" t="s">
        <v>100</v>
      </c>
      <c r="H3" s="16" t="s">
        <v>91</v>
      </c>
      <c r="I3" s="16" t="s">
        <v>101</v>
      </c>
      <c r="J3" s="16" t="s">
        <v>102</v>
      </c>
      <c r="K3" s="16" t="s">
        <v>103</v>
      </c>
      <c r="L3" s="16" t="s">
        <v>104</v>
      </c>
      <c r="M3" s="16" t="s">
        <v>105</v>
      </c>
      <c r="N3" s="16" t="s">
        <v>69</v>
      </c>
      <c r="O3" s="16"/>
    </row>
    <row r="4" customFormat="false" ht="117.75" hidden="false" customHeight="true" outlineLevel="0" collapsed="false">
      <c r="A4" s="8" t="s">
        <v>106</v>
      </c>
      <c r="B4" s="16" t="s">
        <v>87</v>
      </c>
      <c r="C4" s="16" t="s">
        <v>107</v>
      </c>
      <c r="D4" s="16" t="s">
        <v>108</v>
      </c>
      <c r="E4" s="17" t="s">
        <v>42</v>
      </c>
      <c r="F4" s="17" t="s">
        <v>50</v>
      </c>
      <c r="G4" s="16" t="s">
        <v>109</v>
      </c>
      <c r="H4" s="16" t="s">
        <v>91</v>
      </c>
      <c r="I4" s="16" t="s">
        <v>110</v>
      </c>
      <c r="J4" s="16" t="s">
        <v>111</v>
      </c>
      <c r="K4" s="16" t="s">
        <v>112</v>
      </c>
      <c r="L4" s="16" t="s">
        <v>113</v>
      </c>
      <c r="M4" s="16" t="s">
        <v>105</v>
      </c>
      <c r="N4" s="16" t="s">
        <v>69</v>
      </c>
      <c r="O4" s="16"/>
    </row>
    <row r="5" customFormat="false" ht="117.75" hidden="false" customHeight="true" outlineLevel="0" collapsed="false">
      <c r="A5" s="8" t="s">
        <v>114</v>
      </c>
      <c r="B5" s="16" t="s">
        <v>87</v>
      </c>
      <c r="C5" s="16" t="s">
        <v>115</v>
      </c>
      <c r="D5" s="16" t="s">
        <v>116</v>
      </c>
      <c r="E5" s="18" t="s">
        <v>43</v>
      </c>
      <c r="F5" s="17" t="s">
        <v>50</v>
      </c>
      <c r="G5" s="16" t="s">
        <v>90</v>
      </c>
      <c r="H5" s="16" t="s">
        <v>91</v>
      </c>
      <c r="I5" s="16" t="s">
        <v>117</v>
      </c>
      <c r="J5" s="16" t="s">
        <v>118</v>
      </c>
      <c r="K5" s="16" t="s">
        <v>119</v>
      </c>
      <c r="L5" s="16" t="s">
        <v>120</v>
      </c>
      <c r="M5" s="16" t="s">
        <v>96</v>
      </c>
      <c r="N5" s="16" t="s">
        <v>69</v>
      </c>
      <c r="O5" s="16"/>
    </row>
    <row r="6" customFormat="false" ht="117.75" hidden="false" customHeight="true" outlineLevel="0" collapsed="false">
      <c r="A6" s="8" t="s">
        <v>121</v>
      </c>
      <c r="B6" s="16" t="s">
        <v>87</v>
      </c>
      <c r="C6" s="16" t="s">
        <v>122</v>
      </c>
      <c r="D6" s="16" t="s">
        <v>123</v>
      </c>
      <c r="E6" s="18" t="s">
        <v>43</v>
      </c>
      <c r="F6" s="17" t="s">
        <v>50</v>
      </c>
      <c r="G6" s="16" t="s">
        <v>90</v>
      </c>
      <c r="H6" s="16" t="s">
        <v>91</v>
      </c>
      <c r="I6" s="16" t="s">
        <v>124</v>
      </c>
      <c r="J6" s="16" t="s">
        <v>125</v>
      </c>
      <c r="K6" s="16" t="s">
        <v>126</v>
      </c>
      <c r="L6" s="16" t="s">
        <v>127</v>
      </c>
      <c r="M6" s="16" t="s">
        <v>105</v>
      </c>
      <c r="N6" s="16" t="s">
        <v>69</v>
      </c>
      <c r="O6" s="16"/>
    </row>
    <row r="7" customFormat="false" ht="117.75" hidden="false" customHeight="true" outlineLevel="0" collapsed="false">
      <c r="A7" s="8" t="s">
        <v>128</v>
      </c>
      <c r="B7" s="16" t="s">
        <v>87</v>
      </c>
      <c r="C7" s="16" t="s">
        <v>129</v>
      </c>
      <c r="D7" s="16" t="s">
        <v>130</v>
      </c>
      <c r="E7" s="18" t="s">
        <v>43</v>
      </c>
      <c r="F7" s="19" t="s">
        <v>51</v>
      </c>
      <c r="G7" s="16" t="s">
        <v>131</v>
      </c>
      <c r="H7" s="16" t="s">
        <v>91</v>
      </c>
      <c r="I7" s="16" t="s">
        <v>132</v>
      </c>
      <c r="J7" s="16" t="s">
        <v>133</v>
      </c>
      <c r="K7" s="16" t="s">
        <v>134</v>
      </c>
      <c r="L7" s="16" t="s">
        <v>135</v>
      </c>
      <c r="M7" s="16" t="s">
        <v>136</v>
      </c>
      <c r="N7" s="16" t="s">
        <v>69</v>
      </c>
      <c r="O7" s="16"/>
    </row>
    <row r="8" customFormat="false" ht="117.75" hidden="false" customHeight="true" outlineLevel="0" collapsed="false">
      <c r="A8" s="8" t="s">
        <v>137</v>
      </c>
      <c r="B8" s="16" t="s">
        <v>87</v>
      </c>
      <c r="C8" s="16" t="s">
        <v>138</v>
      </c>
      <c r="D8" s="16" t="s">
        <v>139</v>
      </c>
      <c r="E8" s="18" t="s">
        <v>43</v>
      </c>
      <c r="F8" s="17" t="s">
        <v>50</v>
      </c>
      <c r="G8" s="16" t="s">
        <v>140</v>
      </c>
      <c r="H8" s="16" t="s">
        <v>91</v>
      </c>
      <c r="I8" s="16" t="s">
        <v>141</v>
      </c>
      <c r="J8" s="16" t="s">
        <v>142</v>
      </c>
      <c r="K8" s="16" t="s">
        <v>143</v>
      </c>
      <c r="L8" s="16" t="s">
        <v>144</v>
      </c>
      <c r="M8" s="16" t="s">
        <v>96</v>
      </c>
      <c r="N8" s="16" t="s">
        <v>69</v>
      </c>
      <c r="O8" s="16"/>
    </row>
    <row r="9" customFormat="false" ht="117.75" hidden="false" customHeight="true" outlineLevel="0" collapsed="false">
      <c r="A9" s="8" t="s">
        <v>145</v>
      </c>
      <c r="B9" s="16" t="s">
        <v>87</v>
      </c>
      <c r="C9" s="16" t="s">
        <v>146</v>
      </c>
      <c r="D9" s="16" t="s">
        <v>147</v>
      </c>
      <c r="E9" s="18" t="s">
        <v>43</v>
      </c>
      <c r="F9" s="17" t="s">
        <v>50</v>
      </c>
      <c r="G9" s="16" t="s">
        <v>148</v>
      </c>
      <c r="H9" s="16" t="s">
        <v>91</v>
      </c>
      <c r="I9" s="16" t="s">
        <v>149</v>
      </c>
      <c r="J9" s="16" t="s">
        <v>150</v>
      </c>
      <c r="K9" s="16" t="s">
        <v>151</v>
      </c>
      <c r="L9" s="16" t="s">
        <v>152</v>
      </c>
      <c r="M9" s="16" t="s">
        <v>153</v>
      </c>
      <c r="N9" s="16" t="s">
        <v>69</v>
      </c>
      <c r="O9" s="16"/>
    </row>
    <row r="10" customFormat="false" ht="117.75" hidden="false" customHeight="true" outlineLevel="0" collapsed="false">
      <c r="A10" s="8" t="s">
        <v>154</v>
      </c>
      <c r="B10" s="16" t="s">
        <v>87</v>
      </c>
      <c r="C10" s="16" t="s">
        <v>155</v>
      </c>
      <c r="D10" s="16" t="s">
        <v>156</v>
      </c>
      <c r="E10" s="18" t="s">
        <v>43</v>
      </c>
      <c r="F10" s="17" t="s">
        <v>50</v>
      </c>
      <c r="G10" s="16" t="s">
        <v>148</v>
      </c>
      <c r="H10" s="16" t="s">
        <v>91</v>
      </c>
      <c r="I10" s="16" t="s">
        <v>157</v>
      </c>
      <c r="J10" s="16" t="s">
        <v>158</v>
      </c>
      <c r="K10" s="16" t="s">
        <v>159</v>
      </c>
      <c r="L10" s="16" t="s">
        <v>160</v>
      </c>
      <c r="M10" s="16" t="s">
        <v>153</v>
      </c>
      <c r="N10" s="16" t="s">
        <v>69</v>
      </c>
      <c r="O10" s="16"/>
    </row>
    <row r="11" customFormat="false" ht="117.75" hidden="false" customHeight="true" outlineLevel="0" collapsed="false">
      <c r="A11" s="8" t="s">
        <v>161</v>
      </c>
      <c r="B11" s="16" t="s">
        <v>87</v>
      </c>
      <c r="C11" s="16" t="s">
        <v>162</v>
      </c>
      <c r="D11" s="16" t="s">
        <v>163</v>
      </c>
      <c r="E11" s="18" t="s">
        <v>43</v>
      </c>
      <c r="F11" s="17" t="s">
        <v>50</v>
      </c>
      <c r="G11" s="16" t="s">
        <v>164</v>
      </c>
      <c r="H11" s="16" t="s">
        <v>91</v>
      </c>
      <c r="I11" s="16" t="s">
        <v>165</v>
      </c>
      <c r="J11" s="16" t="s">
        <v>166</v>
      </c>
      <c r="K11" s="16" t="s">
        <v>167</v>
      </c>
      <c r="L11" s="16" t="s">
        <v>168</v>
      </c>
      <c r="M11" s="16" t="s">
        <v>169</v>
      </c>
      <c r="N11" s="16" t="s">
        <v>69</v>
      </c>
      <c r="O11" s="16"/>
    </row>
    <row r="12" customFormat="false" ht="117.75" hidden="false" customHeight="true" outlineLevel="0" collapsed="false">
      <c r="A12" s="8" t="s">
        <v>170</v>
      </c>
      <c r="B12" s="16" t="s">
        <v>87</v>
      </c>
      <c r="C12" s="16" t="s">
        <v>162</v>
      </c>
      <c r="D12" s="16" t="s">
        <v>171</v>
      </c>
      <c r="E12" s="18" t="s">
        <v>43</v>
      </c>
      <c r="F12" s="19" t="s">
        <v>51</v>
      </c>
      <c r="G12" s="16" t="s">
        <v>172</v>
      </c>
      <c r="H12" s="16" t="s">
        <v>91</v>
      </c>
      <c r="I12" s="16" t="s">
        <v>173</v>
      </c>
      <c r="J12" s="16" t="s">
        <v>174</v>
      </c>
      <c r="K12" s="16" t="s">
        <v>175</v>
      </c>
      <c r="L12" s="16" t="s">
        <v>176</v>
      </c>
      <c r="M12" s="16" t="s">
        <v>177</v>
      </c>
      <c r="N12" s="16" t="s">
        <v>69</v>
      </c>
      <c r="O12" s="16"/>
    </row>
    <row r="13" customFormat="false" ht="117.75" hidden="false" customHeight="true" outlineLevel="0" collapsed="false">
      <c r="A13" s="8" t="s">
        <v>178</v>
      </c>
      <c r="B13" s="16" t="s">
        <v>87</v>
      </c>
      <c r="C13" s="16" t="s">
        <v>179</v>
      </c>
      <c r="D13" s="16" t="s">
        <v>180</v>
      </c>
      <c r="E13" s="18" t="s">
        <v>43</v>
      </c>
      <c r="F13" s="17" t="s">
        <v>50</v>
      </c>
      <c r="G13" s="16" t="s">
        <v>181</v>
      </c>
      <c r="H13" s="16" t="s">
        <v>91</v>
      </c>
      <c r="I13" s="16" t="s">
        <v>182</v>
      </c>
      <c r="J13" s="16" t="s">
        <v>183</v>
      </c>
      <c r="K13" s="16" t="s">
        <v>184</v>
      </c>
      <c r="L13" s="16" t="s">
        <v>185</v>
      </c>
      <c r="M13" s="16" t="s">
        <v>186</v>
      </c>
      <c r="N13" s="16" t="s">
        <v>69</v>
      </c>
      <c r="O13" s="16"/>
    </row>
    <row r="14" customFormat="false" ht="117.75" hidden="false" customHeight="true" outlineLevel="0" collapsed="false">
      <c r="A14" s="8" t="s">
        <v>187</v>
      </c>
      <c r="B14" s="16" t="s">
        <v>87</v>
      </c>
      <c r="C14" s="16" t="s">
        <v>188</v>
      </c>
      <c r="D14" s="16" t="s">
        <v>189</v>
      </c>
      <c r="E14" s="18" t="s">
        <v>43</v>
      </c>
      <c r="F14" s="19" t="s">
        <v>51</v>
      </c>
      <c r="G14" s="16" t="s">
        <v>190</v>
      </c>
      <c r="H14" s="16" t="s">
        <v>91</v>
      </c>
      <c r="I14" s="16" t="s">
        <v>191</v>
      </c>
      <c r="J14" s="16" t="s">
        <v>192</v>
      </c>
      <c r="K14" s="16" t="s">
        <v>193</v>
      </c>
      <c r="L14" s="16" t="s">
        <v>194</v>
      </c>
      <c r="M14" s="16" t="s">
        <v>153</v>
      </c>
      <c r="N14" s="16" t="s">
        <v>69</v>
      </c>
      <c r="O14" s="16"/>
    </row>
    <row r="15" customFormat="false" ht="117.75" hidden="false" customHeight="true" outlineLevel="0" collapsed="false">
      <c r="A15" s="8" t="s">
        <v>195</v>
      </c>
      <c r="B15" s="16" t="s">
        <v>87</v>
      </c>
      <c r="C15" s="16" t="s">
        <v>188</v>
      </c>
      <c r="D15" s="16" t="s">
        <v>196</v>
      </c>
      <c r="E15" s="19" t="s">
        <v>44</v>
      </c>
      <c r="F15" s="19" t="s">
        <v>51</v>
      </c>
      <c r="G15" s="16" t="s">
        <v>197</v>
      </c>
      <c r="H15" s="16" t="s">
        <v>91</v>
      </c>
      <c r="I15" s="16" t="s">
        <v>198</v>
      </c>
      <c r="J15" s="16" t="s">
        <v>199</v>
      </c>
      <c r="K15" s="16" t="s">
        <v>200</v>
      </c>
      <c r="L15" s="16" t="s">
        <v>201</v>
      </c>
      <c r="M15" s="16" t="s">
        <v>96</v>
      </c>
      <c r="N15" s="16" t="s">
        <v>69</v>
      </c>
      <c r="O15" s="16"/>
    </row>
    <row r="16" customFormat="false" ht="117.75" hidden="false" customHeight="true" outlineLevel="0" collapsed="false">
      <c r="A16" s="8" t="s">
        <v>202</v>
      </c>
      <c r="B16" s="16" t="s">
        <v>87</v>
      </c>
      <c r="C16" s="16" t="s">
        <v>203</v>
      </c>
      <c r="D16" s="16" t="s">
        <v>204</v>
      </c>
      <c r="E16" s="19" t="s">
        <v>44</v>
      </c>
      <c r="F16" s="19" t="s">
        <v>51</v>
      </c>
      <c r="G16" s="16" t="s">
        <v>205</v>
      </c>
      <c r="H16" s="16" t="s">
        <v>91</v>
      </c>
      <c r="I16" s="16" t="s">
        <v>206</v>
      </c>
      <c r="J16" s="16" t="s">
        <v>207</v>
      </c>
      <c r="K16" s="16" t="s">
        <v>208</v>
      </c>
      <c r="L16" s="16" t="s">
        <v>209</v>
      </c>
      <c r="M16" s="16" t="s">
        <v>186</v>
      </c>
      <c r="N16" s="16" t="s">
        <v>69</v>
      </c>
      <c r="O16" s="16"/>
    </row>
    <row r="17" customFormat="false" ht="117.75" hidden="false" customHeight="true" outlineLevel="0" collapsed="false">
      <c r="A17" s="8" t="s">
        <v>210</v>
      </c>
      <c r="B17" s="16" t="s">
        <v>87</v>
      </c>
      <c r="C17" s="16" t="s">
        <v>211</v>
      </c>
      <c r="D17" s="16" t="s">
        <v>212</v>
      </c>
      <c r="E17" s="18" t="s">
        <v>43</v>
      </c>
      <c r="F17" s="17" t="s">
        <v>50</v>
      </c>
      <c r="G17" s="16" t="s">
        <v>213</v>
      </c>
      <c r="H17" s="16" t="s">
        <v>214</v>
      </c>
      <c r="I17" s="16" t="s">
        <v>215</v>
      </c>
      <c r="J17" s="16" t="s">
        <v>216</v>
      </c>
      <c r="K17" s="16" t="s">
        <v>217</v>
      </c>
      <c r="L17" s="16" t="s">
        <v>218</v>
      </c>
      <c r="M17" s="16" t="s">
        <v>136</v>
      </c>
      <c r="N17" s="16" t="s">
        <v>69</v>
      </c>
      <c r="O17" s="16"/>
    </row>
    <row r="18" customFormat="false" ht="117.75" hidden="false" customHeight="true" outlineLevel="0" collapsed="false">
      <c r="A18" s="8" t="s">
        <v>219</v>
      </c>
      <c r="B18" s="16" t="s">
        <v>87</v>
      </c>
      <c r="C18" s="16" t="s">
        <v>220</v>
      </c>
      <c r="D18" s="16" t="s">
        <v>221</v>
      </c>
      <c r="E18" s="19" t="s">
        <v>44</v>
      </c>
      <c r="F18" s="19" t="s">
        <v>51</v>
      </c>
      <c r="G18" s="16" t="s">
        <v>222</v>
      </c>
      <c r="H18" s="16" t="s">
        <v>91</v>
      </c>
      <c r="I18" s="16" t="s">
        <v>223</v>
      </c>
      <c r="J18" s="16" t="s">
        <v>224</v>
      </c>
      <c r="K18" s="16" t="s">
        <v>225</v>
      </c>
      <c r="L18" s="16" t="s">
        <v>226</v>
      </c>
      <c r="M18" s="16" t="s">
        <v>153</v>
      </c>
      <c r="N18" s="16" t="s">
        <v>69</v>
      </c>
      <c r="O18" s="16"/>
    </row>
    <row r="19" customFormat="false" ht="117.75" hidden="false" customHeight="true" outlineLevel="0" collapsed="false">
      <c r="A19" s="8" t="s">
        <v>227</v>
      </c>
      <c r="B19" s="16" t="s">
        <v>87</v>
      </c>
      <c r="C19" s="16" t="s">
        <v>146</v>
      </c>
      <c r="D19" s="16" t="s">
        <v>228</v>
      </c>
      <c r="E19" s="20" t="s">
        <v>45</v>
      </c>
      <c r="F19" s="21" t="s">
        <v>52</v>
      </c>
      <c r="G19" s="16" t="s">
        <v>229</v>
      </c>
      <c r="H19" s="16" t="s">
        <v>230</v>
      </c>
      <c r="I19" s="16" t="s">
        <v>231</v>
      </c>
      <c r="J19" s="16" t="s">
        <v>232</v>
      </c>
      <c r="K19" s="16" t="s">
        <v>233</v>
      </c>
      <c r="L19" s="16" t="s">
        <v>234</v>
      </c>
      <c r="M19" s="16" t="s">
        <v>96</v>
      </c>
      <c r="N19" s="16" t="s">
        <v>69</v>
      </c>
      <c r="O19" s="16"/>
    </row>
    <row r="20" customFormat="false" ht="117.75" hidden="false" customHeight="true" outlineLevel="0" collapsed="false">
      <c r="A20" s="8" t="s">
        <v>235</v>
      </c>
      <c r="B20" s="16" t="s">
        <v>87</v>
      </c>
      <c r="C20" s="16" t="s">
        <v>236</v>
      </c>
      <c r="D20" s="16" t="s">
        <v>237</v>
      </c>
      <c r="E20" s="19" t="s">
        <v>44</v>
      </c>
      <c r="F20" s="19" t="s">
        <v>51</v>
      </c>
      <c r="G20" s="16" t="s">
        <v>238</v>
      </c>
      <c r="H20" s="16" t="s">
        <v>239</v>
      </c>
      <c r="I20" s="16" t="s">
        <v>240</v>
      </c>
      <c r="J20" s="16" t="s">
        <v>241</v>
      </c>
      <c r="K20" s="16" t="s">
        <v>242</v>
      </c>
      <c r="L20" s="16" t="s">
        <v>243</v>
      </c>
      <c r="M20" s="16" t="s">
        <v>96</v>
      </c>
      <c r="N20" s="16" t="s">
        <v>69</v>
      </c>
      <c r="O20" s="16"/>
    </row>
    <row r="21" customFormat="false" ht="117.75" hidden="false" customHeight="true" outlineLevel="0" collapsed="false">
      <c r="A21" s="8" t="s">
        <v>244</v>
      </c>
      <c r="B21" s="16" t="s">
        <v>87</v>
      </c>
      <c r="C21" s="16" t="s">
        <v>245</v>
      </c>
      <c r="D21" s="16" t="s">
        <v>246</v>
      </c>
      <c r="E21" s="19" t="s">
        <v>44</v>
      </c>
      <c r="F21" s="19" t="s">
        <v>51</v>
      </c>
      <c r="G21" s="16" t="s">
        <v>164</v>
      </c>
      <c r="H21" s="16" t="s">
        <v>91</v>
      </c>
      <c r="I21" s="16" t="s">
        <v>247</v>
      </c>
      <c r="J21" s="16" t="s">
        <v>248</v>
      </c>
      <c r="K21" s="16" t="s">
        <v>249</v>
      </c>
      <c r="L21" s="16" t="s">
        <v>250</v>
      </c>
      <c r="M21" s="16" t="s">
        <v>251</v>
      </c>
      <c r="N21" s="16" t="s">
        <v>69</v>
      </c>
      <c r="O21" s="16"/>
    </row>
    <row r="22" customFormat="false" ht="117.75" hidden="false" customHeight="true" outlineLevel="0" collapsed="false">
      <c r="A22" s="8" t="s">
        <v>252</v>
      </c>
      <c r="B22" s="16" t="s">
        <v>87</v>
      </c>
      <c r="C22" s="16" t="s">
        <v>253</v>
      </c>
      <c r="D22" s="16" t="s">
        <v>254</v>
      </c>
      <c r="E22" s="19" t="s">
        <v>44</v>
      </c>
      <c r="F22" s="19" t="s">
        <v>51</v>
      </c>
      <c r="G22" s="16" t="s">
        <v>181</v>
      </c>
      <c r="H22" s="16" t="s">
        <v>91</v>
      </c>
      <c r="I22" s="16" t="s">
        <v>255</v>
      </c>
      <c r="J22" s="16" t="s">
        <v>256</v>
      </c>
      <c r="K22" s="16" t="s">
        <v>257</v>
      </c>
      <c r="L22" s="16" t="s">
        <v>258</v>
      </c>
      <c r="M22" s="16" t="s">
        <v>96</v>
      </c>
      <c r="N22" s="16" t="s">
        <v>69</v>
      </c>
      <c r="O22" s="16"/>
    </row>
    <row r="23" customFormat="false" ht="117.75" hidden="false" customHeight="true" outlineLevel="0" collapsed="false">
      <c r="A23" s="8" t="s">
        <v>259</v>
      </c>
      <c r="B23" s="16" t="s">
        <v>87</v>
      </c>
      <c r="C23" s="16" t="s">
        <v>253</v>
      </c>
      <c r="D23" s="16" t="s">
        <v>260</v>
      </c>
      <c r="E23" s="20" t="s">
        <v>45</v>
      </c>
      <c r="F23" s="21" t="s">
        <v>52</v>
      </c>
      <c r="G23" s="16" t="s">
        <v>261</v>
      </c>
      <c r="H23" s="16" t="s">
        <v>91</v>
      </c>
      <c r="I23" s="16" t="s">
        <v>262</v>
      </c>
      <c r="J23" s="16" t="s">
        <v>263</v>
      </c>
      <c r="K23" s="16" t="s">
        <v>264</v>
      </c>
      <c r="L23" s="16" t="s">
        <v>265</v>
      </c>
      <c r="M23" s="16" t="s">
        <v>57</v>
      </c>
      <c r="N23" s="16" t="s">
        <v>69</v>
      </c>
      <c r="O23" s="16"/>
    </row>
    <row r="24" customFormat="false" ht="117.75" hidden="false" customHeight="true" outlineLevel="0" collapsed="false">
      <c r="A24" s="8" t="s">
        <v>266</v>
      </c>
      <c r="B24" s="16" t="s">
        <v>87</v>
      </c>
      <c r="C24" s="16" t="s">
        <v>267</v>
      </c>
      <c r="D24" s="16" t="s">
        <v>268</v>
      </c>
      <c r="E24" s="20" t="s">
        <v>45</v>
      </c>
      <c r="F24" s="21" t="s">
        <v>52</v>
      </c>
      <c r="G24" s="16" t="s">
        <v>269</v>
      </c>
      <c r="H24" s="16" t="s">
        <v>91</v>
      </c>
      <c r="I24" s="16" t="s">
        <v>270</v>
      </c>
      <c r="J24" s="16" t="s">
        <v>271</v>
      </c>
      <c r="K24" s="16" t="s">
        <v>272</v>
      </c>
      <c r="L24" s="16" t="s">
        <v>273</v>
      </c>
      <c r="M24" s="16" t="s">
        <v>96</v>
      </c>
      <c r="N24" s="16" t="s">
        <v>69</v>
      </c>
      <c r="O24" s="16"/>
    </row>
    <row r="25" customFormat="false" ht="117.75" hidden="false" customHeight="true" outlineLevel="0" collapsed="false">
      <c r="A25" s="8" t="s">
        <v>274</v>
      </c>
      <c r="B25" s="16" t="s">
        <v>87</v>
      </c>
      <c r="C25" s="16" t="s">
        <v>275</v>
      </c>
      <c r="D25" s="16" t="s">
        <v>276</v>
      </c>
      <c r="E25" s="19" t="s">
        <v>44</v>
      </c>
      <c r="F25" s="17" t="s">
        <v>50</v>
      </c>
      <c r="G25" s="16" t="s">
        <v>277</v>
      </c>
      <c r="H25" s="16" t="s">
        <v>91</v>
      </c>
      <c r="I25" s="16" t="s">
        <v>278</v>
      </c>
      <c r="J25" s="16" t="s">
        <v>279</v>
      </c>
      <c r="K25" s="16" t="s">
        <v>280</v>
      </c>
      <c r="L25" s="16" t="s">
        <v>281</v>
      </c>
      <c r="M25" s="16" t="s">
        <v>105</v>
      </c>
      <c r="N25" s="16" t="s">
        <v>69</v>
      </c>
      <c r="O25" s="16"/>
    </row>
    <row r="26" customFormat="false" ht="117.75" hidden="false" customHeight="true" outlineLevel="0" collapsed="false">
      <c r="A26" s="8" t="s">
        <v>282</v>
      </c>
      <c r="B26" s="16" t="s">
        <v>87</v>
      </c>
      <c r="C26" s="16" t="s">
        <v>283</v>
      </c>
      <c r="D26" s="16" t="s">
        <v>284</v>
      </c>
      <c r="E26" s="18" t="s">
        <v>43</v>
      </c>
      <c r="F26" s="17" t="s">
        <v>50</v>
      </c>
      <c r="G26" s="16" t="s">
        <v>285</v>
      </c>
      <c r="H26" s="16" t="s">
        <v>91</v>
      </c>
      <c r="I26" s="16" t="s">
        <v>286</v>
      </c>
      <c r="J26" s="16" t="s">
        <v>287</v>
      </c>
      <c r="K26" s="16" t="s">
        <v>288</v>
      </c>
      <c r="L26" s="16" t="s">
        <v>289</v>
      </c>
      <c r="M26" s="16" t="s">
        <v>96</v>
      </c>
      <c r="N26" s="16" t="s">
        <v>69</v>
      </c>
      <c r="O26" s="16"/>
    </row>
    <row r="27" customFormat="false" ht="117.75" hidden="false" customHeight="true" outlineLevel="0" collapsed="false">
      <c r="A27" s="8" t="s">
        <v>290</v>
      </c>
      <c r="B27" s="16" t="s">
        <v>87</v>
      </c>
      <c r="C27" s="16" t="s">
        <v>291</v>
      </c>
      <c r="D27" s="16" t="s">
        <v>292</v>
      </c>
      <c r="E27" s="19" t="s">
        <v>44</v>
      </c>
      <c r="F27" s="19" t="s">
        <v>51</v>
      </c>
      <c r="G27" s="16" t="s">
        <v>293</v>
      </c>
      <c r="H27" s="16" t="s">
        <v>91</v>
      </c>
      <c r="I27" s="16" t="s">
        <v>294</v>
      </c>
      <c r="J27" s="16" t="s">
        <v>295</v>
      </c>
      <c r="K27" s="16" t="s">
        <v>296</v>
      </c>
      <c r="L27" s="16" t="s">
        <v>297</v>
      </c>
      <c r="M27" s="16" t="s">
        <v>298</v>
      </c>
      <c r="N27" s="16" t="s">
        <v>69</v>
      </c>
      <c r="O27" s="16"/>
    </row>
    <row r="28" customFormat="false" ht="117.75" hidden="false" customHeight="true" outlineLevel="0" collapsed="false">
      <c r="A28" s="8" t="s">
        <v>299</v>
      </c>
      <c r="B28" s="16" t="s">
        <v>87</v>
      </c>
      <c r="C28" s="16" t="s">
        <v>300</v>
      </c>
      <c r="D28" s="16" t="s">
        <v>301</v>
      </c>
      <c r="E28" s="19" t="s">
        <v>44</v>
      </c>
      <c r="F28" s="19" t="s">
        <v>51</v>
      </c>
      <c r="G28" s="16" t="s">
        <v>302</v>
      </c>
      <c r="H28" s="16" t="s">
        <v>91</v>
      </c>
      <c r="I28" s="16" t="s">
        <v>303</v>
      </c>
      <c r="J28" s="16" t="s">
        <v>304</v>
      </c>
      <c r="K28" s="16" t="s">
        <v>305</v>
      </c>
      <c r="L28" s="16" t="s">
        <v>306</v>
      </c>
      <c r="M28" s="16" t="s">
        <v>307</v>
      </c>
      <c r="N28" s="16" t="s">
        <v>69</v>
      </c>
      <c r="O28" s="16"/>
    </row>
    <row r="29" customFormat="false" ht="117.75" hidden="false" customHeight="true" outlineLevel="0" collapsed="false">
      <c r="A29" s="8" t="s">
        <v>308</v>
      </c>
      <c r="B29" s="16" t="s">
        <v>87</v>
      </c>
      <c r="C29" s="16" t="s">
        <v>309</v>
      </c>
      <c r="D29" s="16" t="s">
        <v>310</v>
      </c>
      <c r="E29" s="18" t="s">
        <v>43</v>
      </c>
      <c r="F29" s="17" t="s">
        <v>50</v>
      </c>
      <c r="G29" s="16" t="s">
        <v>311</v>
      </c>
      <c r="H29" s="16" t="s">
        <v>91</v>
      </c>
      <c r="I29" s="16" t="s">
        <v>312</v>
      </c>
      <c r="J29" s="16" t="s">
        <v>313</v>
      </c>
      <c r="K29" s="16" t="s">
        <v>314</v>
      </c>
      <c r="L29" s="16" t="s">
        <v>315</v>
      </c>
      <c r="M29" s="16" t="s">
        <v>316</v>
      </c>
      <c r="N29" s="16" t="s">
        <v>69</v>
      </c>
      <c r="O29" s="16"/>
    </row>
    <row r="30" customFormat="false" ht="117.75" hidden="false" customHeight="true" outlineLevel="0" collapsed="false">
      <c r="A30" s="8" t="s">
        <v>317</v>
      </c>
      <c r="B30" s="16" t="s">
        <v>87</v>
      </c>
      <c r="C30" s="16" t="s">
        <v>318</v>
      </c>
      <c r="D30" s="16" t="s">
        <v>319</v>
      </c>
      <c r="E30" s="19" t="s">
        <v>44</v>
      </c>
      <c r="F30" s="19" t="s">
        <v>51</v>
      </c>
      <c r="G30" s="16" t="s">
        <v>320</v>
      </c>
      <c r="H30" s="16" t="s">
        <v>91</v>
      </c>
      <c r="I30" s="16" t="s">
        <v>321</v>
      </c>
      <c r="J30" s="16" t="s">
        <v>322</v>
      </c>
      <c r="K30" s="16" t="s">
        <v>323</v>
      </c>
      <c r="L30" s="16" t="s">
        <v>324</v>
      </c>
      <c r="M30" s="16" t="s">
        <v>325</v>
      </c>
      <c r="N30" s="16" t="s">
        <v>69</v>
      </c>
      <c r="O30" s="16"/>
    </row>
    <row r="31" customFormat="false" ht="117.75" hidden="false" customHeight="true" outlineLevel="0" collapsed="false">
      <c r="A31" s="8" t="s">
        <v>326</v>
      </c>
      <c r="B31" s="16" t="s">
        <v>87</v>
      </c>
      <c r="C31" s="16" t="s">
        <v>327</v>
      </c>
      <c r="D31" s="16" t="s">
        <v>328</v>
      </c>
      <c r="E31" s="20" t="s">
        <v>45</v>
      </c>
      <c r="F31" s="21" t="s">
        <v>52</v>
      </c>
      <c r="G31" s="16" t="s">
        <v>59</v>
      </c>
      <c r="H31" s="16" t="s">
        <v>91</v>
      </c>
      <c r="I31" s="16" t="s">
        <v>329</v>
      </c>
      <c r="J31" s="16" t="s">
        <v>330</v>
      </c>
      <c r="K31" s="16" t="s">
        <v>331</v>
      </c>
      <c r="L31" s="16" t="s">
        <v>332</v>
      </c>
      <c r="M31" s="16" t="s">
        <v>96</v>
      </c>
      <c r="N31" s="16" t="s">
        <v>69</v>
      </c>
      <c r="O31" s="16"/>
    </row>
    <row r="32" customFormat="false" ht="117.75" hidden="false" customHeight="true" outlineLevel="0" collapsed="false">
      <c r="A32" s="8" t="s">
        <v>333</v>
      </c>
      <c r="B32" s="16" t="s">
        <v>334</v>
      </c>
      <c r="C32" s="16" t="s">
        <v>335</v>
      </c>
      <c r="D32" s="16" t="s">
        <v>336</v>
      </c>
      <c r="E32" s="20" t="s">
        <v>45</v>
      </c>
      <c r="F32" s="21" t="s">
        <v>52</v>
      </c>
      <c r="G32" s="16" t="s">
        <v>337</v>
      </c>
      <c r="H32" s="16" t="s">
        <v>91</v>
      </c>
      <c r="I32" s="16" t="s">
        <v>338</v>
      </c>
      <c r="J32" s="16" t="s">
        <v>339</v>
      </c>
      <c r="K32" s="16" t="s">
        <v>340</v>
      </c>
      <c r="L32" s="16" t="s">
        <v>341</v>
      </c>
      <c r="M32" s="16" t="s">
        <v>307</v>
      </c>
      <c r="N32" s="16" t="s">
        <v>69</v>
      </c>
      <c r="O32" s="16"/>
    </row>
    <row r="33" customFormat="false" ht="117.75" hidden="false" customHeight="true" outlineLevel="0" collapsed="false">
      <c r="A33" s="8" t="s">
        <v>342</v>
      </c>
      <c r="B33" s="16" t="s">
        <v>343</v>
      </c>
      <c r="C33" s="16" t="s">
        <v>344</v>
      </c>
      <c r="D33" s="16" t="s">
        <v>345</v>
      </c>
      <c r="E33" s="17" t="s">
        <v>42</v>
      </c>
      <c r="F33" s="17" t="s">
        <v>50</v>
      </c>
      <c r="G33" s="16" t="s">
        <v>346</v>
      </c>
      <c r="H33" s="16" t="s">
        <v>91</v>
      </c>
      <c r="I33" s="16" t="s">
        <v>347</v>
      </c>
      <c r="J33" s="16" t="s">
        <v>348</v>
      </c>
      <c r="K33" s="16" t="s">
        <v>349</v>
      </c>
      <c r="L33" s="16" t="s">
        <v>350</v>
      </c>
      <c r="M33" s="16" t="s">
        <v>96</v>
      </c>
      <c r="N33" s="16" t="s">
        <v>69</v>
      </c>
      <c r="O33" s="16"/>
    </row>
    <row r="34" customFormat="false" ht="117.75" hidden="false" customHeight="true" outlineLevel="0" collapsed="false">
      <c r="A34" s="8" t="s">
        <v>351</v>
      </c>
      <c r="B34" s="16" t="s">
        <v>343</v>
      </c>
      <c r="C34" s="16" t="s">
        <v>352</v>
      </c>
      <c r="D34" s="16" t="s">
        <v>353</v>
      </c>
      <c r="E34" s="17" t="s">
        <v>42</v>
      </c>
      <c r="F34" s="17" t="s">
        <v>50</v>
      </c>
      <c r="G34" s="16" t="s">
        <v>354</v>
      </c>
      <c r="H34" s="16" t="s">
        <v>91</v>
      </c>
      <c r="I34" s="16" t="s">
        <v>355</v>
      </c>
      <c r="J34" s="16" t="s">
        <v>356</v>
      </c>
      <c r="K34" s="16" t="s">
        <v>357</v>
      </c>
      <c r="L34" s="16" t="s">
        <v>358</v>
      </c>
      <c r="M34" s="16" t="s">
        <v>359</v>
      </c>
      <c r="N34" s="16" t="s">
        <v>69</v>
      </c>
      <c r="O34" s="16"/>
    </row>
    <row r="35" customFormat="false" ht="117.75" hidden="false" customHeight="true" outlineLevel="0" collapsed="false">
      <c r="A35" s="8" t="s">
        <v>360</v>
      </c>
      <c r="B35" s="16" t="s">
        <v>343</v>
      </c>
      <c r="C35" s="16" t="s">
        <v>361</v>
      </c>
      <c r="D35" s="16" t="s">
        <v>362</v>
      </c>
      <c r="E35" s="17" t="s">
        <v>42</v>
      </c>
      <c r="F35" s="17" t="s">
        <v>50</v>
      </c>
      <c r="G35" s="16" t="s">
        <v>58</v>
      </c>
      <c r="H35" s="16" t="s">
        <v>214</v>
      </c>
      <c r="I35" s="16" t="s">
        <v>363</v>
      </c>
      <c r="J35" s="16" t="s">
        <v>364</v>
      </c>
      <c r="K35" s="16" t="s">
        <v>365</v>
      </c>
      <c r="L35" s="16" t="s">
        <v>366</v>
      </c>
      <c r="M35" s="16" t="s">
        <v>367</v>
      </c>
      <c r="N35" s="16" t="s">
        <v>69</v>
      </c>
      <c r="O35" s="16"/>
    </row>
    <row r="36" customFormat="false" ht="117.75" hidden="false" customHeight="true" outlineLevel="0" collapsed="false">
      <c r="A36" s="8" t="s">
        <v>368</v>
      </c>
      <c r="B36" s="16" t="s">
        <v>343</v>
      </c>
      <c r="C36" s="16" t="s">
        <v>369</v>
      </c>
      <c r="D36" s="16" t="s">
        <v>370</v>
      </c>
      <c r="E36" s="17" t="s">
        <v>42</v>
      </c>
      <c r="F36" s="17" t="s">
        <v>50</v>
      </c>
      <c r="G36" s="16" t="s">
        <v>371</v>
      </c>
      <c r="H36" s="16" t="s">
        <v>91</v>
      </c>
      <c r="I36" s="16" t="s">
        <v>372</v>
      </c>
      <c r="J36" s="16" t="s">
        <v>373</v>
      </c>
      <c r="K36" s="16" t="s">
        <v>374</v>
      </c>
      <c r="L36" s="16" t="s">
        <v>375</v>
      </c>
      <c r="M36" s="16" t="s">
        <v>96</v>
      </c>
      <c r="N36" s="16" t="s">
        <v>69</v>
      </c>
      <c r="O36" s="16"/>
    </row>
    <row r="37" customFormat="false" ht="117.75" hidden="false" customHeight="true" outlineLevel="0" collapsed="false">
      <c r="A37" s="8" t="s">
        <v>376</v>
      </c>
      <c r="B37" s="16" t="s">
        <v>343</v>
      </c>
      <c r="C37" s="16" t="s">
        <v>377</v>
      </c>
      <c r="D37" s="16" t="s">
        <v>378</v>
      </c>
      <c r="E37" s="18" t="s">
        <v>43</v>
      </c>
      <c r="F37" s="17" t="s">
        <v>50</v>
      </c>
      <c r="G37" s="16" t="s">
        <v>379</v>
      </c>
      <c r="H37" s="16" t="s">
        <v>91</v>
      </c>
      <c r="I37" s="16" t="s">
        <v>380</v>
      </c>
      <c r="J37" s="16" t="s">
        <v>381</v>
      </c>
      <c r="K37" s="16" t="s">
        <v>382</v>
      </c>
      <c r="L37" s="16" t="s">
        <v>383</v>
      </c>
      <c r="M37" s="16" t="s">
        <v>153</v>
      </c>
      <c r="N37" s="16" t="s">
        <v>69</v>
      </c>
      <c r="O37" s="16"/>
    </row>
    <row r="38" customFormat="false" ht="117.75" hidden="false" customHeight="true" outlineLevel="0" collapsed="false">
      <c r="A38" s="8" t="s">
        <v>384</v>
      </c>
      <c r="B38" s="16" t="s">
        <v>343</v>
      </c>
      <c r="C38" s="16" t="s">
        <v>385</v>
      </c>
      <c r="D38" s="16" t="s">
        <v>386</v>
      </c>
      <c r="E38" s="18" t="s">
        <v>43</v>
      </c>
      <c r="F38" s="17" t="s">
        <v>50</v>
      </c>
      <c r="G38" s="16" t="s">
        <v>387</v>
      </c>
      <c r="H38" s="16" t="s">
        <v>91</v>
      </c>
      <c r="I38" s="16" t="s">
        <v>388</v>
      </c>
      <c r="J38" s="16" t="s">
        <v>389</v>
      </c>
      <c r="K38" s="16" t="s">
        <v>390</v>
      </c>
      <c r="L38" s="16" t="s">
        <v>391</v>
      </c>
      <c r="M38" s="16" t="s">
        <v>392</v>
      </c>
      <c r="N38" s="16" t="s">
        <v>69</v>
      </c>
      <c r="O38" s="16"/>
    </row>
    <row r="39" customFormat="false" ht="117.75" hidden="false" customHeight="true" outlineLevel="0" collapsed="false">
      <c r="A39" s="8" t="s">
        <v>393</v>
      </c>
      <c r="B39" s="16" t="s">
        <v>343</v>
      </c>
      <c r="C39" s="16" t="s">
        <v>394</v>
      </c>
      <c r="D39" s="16" t="s">
        <v>395</v>
      </c>
      <c r="E39" s="18" t="s">
        <v>43</v>
      </c>
      <c r="F39" s="17" t="s">
        <v>50</v>
      </c>
      <c r="G39" s="16" t="s">
        <v>396</v>
      </c>
      <c r="H39" s="16" t="s">
        <v>91</v>
      </c>
      <c r="I39" s="16" t="s">
        <v>397</v>
      </c>
      <c r="J39" s="16" t="s">
        <v>398</v>
      </c>
      <c r="K39" s="16" t="s">
        <v>399</v>
      </c>
      <c r="L39" s="16" t="s">
        <v>400</v>
      </c>
      <c r="M39" s="16" t="s">
        <v>401</v>
      </c>
      <c r="N39" s="16" t="s">
        <v>69</v>
      </c>
      <c r="O39" s="16"/>
    </row>
    <row r="40" customFormat="false" ht="117.75" hidden="false" customHeight="true" outlineLevel="0" collapsed="false">
      <c r="A40" s="8" t="s">
        <v>402</v>
      </c>
      <c r="B40" s="16" t="s">
        <v>343</v>
      </c>
      <c r="C40" s="16" t="s">
        <v>403</v>
      </c>
      <c r="D40" s="16" t="s">
        <v>404</v>
      </c>
      <c r="E40" s="18" t="s">
        <v>43</v>
      </c>
      <c r="F40" s="17" t="s">
        <v>50</v>
      </c>
      <c r="G40" s="16" t="s">
        <v>58</v>
      </c>
      <c r="H40" s="16" t="s">
        <v>214</v>
      </c>
      <c r="I40" s="16" t="s">
        <v>405</v>
      </c>
      <c r="J40" s="16" t="s">
        <v>406</v>
      </c>
      <c r="K40" s="16" t="s">
        <v>407</v>
      </c>
      <c r="L40" s="16" t="s">
        <v>408</v>
      </c>
      <c r="M40" s="16" t="s">
        <v>409</v>
      </c>
      <c r="N40" s="16" t="s">
        <v>69</v>
      </c>
      <c r="O40" s="16"/>
    </row>
    <row r="41" customFormat="false" ht="117.75" hidden="false" customHeight="true" outlineLevel="0" collapsed="false">
      <c r="A41" s="8" t="s">
        <v>410</v>
      </c>
      <c r="B41" s="16" t="s">
        <v>343</v>
      </c>
      <c r="C41" s="16" t="s">
        <v>411</v>
      </c>
      <c r="D41" s="16" t="s">
        <v>412</v>
      </c>
      <c r="E41" s="18" t="s">
        <v>43</v>
      </c>
      <c r="F41" s="17" t="s">
        <v>50</v>
      </c>
      <c r="G41" s="16" t="s">
        <v>413</v>
      </c>
      <c r="H41" s="16" t="s">
        <v>91</v>
      </c>
      <c r="I41" s="16" t="s">
        <v>414</v>
      </c>
      <c r="J41" s="16" t="s">
        <v>415</v>
      </c>
      <c r="K41" s="16" t="s">
        <v>416</v>
      </c>
      <c r="L41" s="16" t="s">
        <v>417</v>
      </c>
      <c r="M41" s="16" t="s">
        <v>96</v>
      </c>
      <c r="N41" s="16" t="s">
        <v>69</v>
      </c>
      <c r="O41" s="16"/>
    </row>
    <row r="42" customFormat="false" ht="117.75" hidden="false" customHeight="true" outlineLevel="0" collapsed="false">
      <c r="A42" s="8" t="s">
        <v>418</v>
      </c>
      <c r="B42" s="16" t="s">
        <v>343</v>
      </c>
      <c r="C42" s="16" t="s">
        <v>411</v>
      </c>
      <c r="D42" s="16" t="s">
        <v>419</v>
      </c>
      <c r="E42" s="19" t="s">
        <v>44</v>
      </c>
      <c r="F42" s="19" t="s">
        <v>51</v>
      </c>
      <c r="G42" s="16" t="s">
        <v>420</v>
      </c>
      <c r="H42" s="16" t="s">
        <v>91</v>
      </c>
      <c r="I42" s="16" t="s">
        <v>421</v>
      </c>
      <c r="J42" s="16" t="s">
        <v>422</v>
      </c>
      <c r="K42" s="16" t="s">
        <v>423</v>
      </c>
      <c r="L42" s="16" t="s">
        <v>424</v>
      </c>
      <c r="M42" s="16" t="s">
        <v>392</v>
      </c>
      <c r="N42" s="16" t="s">
        <v>69</v>
      </c>
      <c r="O42" s="16"/>
    </row>
    <row r="43" customFormat="false" ht="117.75" hidden="false" customHeight="true" outlineLevel="0" collapsed="false">
      <c r="A43" s="8" t="s">
        <v>425</v>
      </c>
      <c r="B43" s="16" t="s">
        <v>343</v>
      </c>
      <c r="C43" s="16" t="s">
        <v>426</v>
      </c>
      <c r="D43" s="16" t="s">
        <v>427</v>
      </c>
      <c r="E43" s="18" t="s">
        <v>43</v>
      </c>
      <c r="F43" s="17" t="s">
        <v>50</v>
      </c>
      <c r="G43" s="16" t="s">
        <v>396</v>
      </c>
      <c r="H43" s="16" t="s">
        <v>91</v>
      </c>
      <c r="I43" s="16" t="s">
        <v>428</v>
      </c>
      <c r="J43" s="16" t="s">
        <v>429</v>
      </c>
      <c r="K43" s="16" t="s">
        <v>430</v>
      </c>
      <c r="L43" s="16" t="s">
        <v>431</v>
      </c>
      <c r="M43" s="16" t="s">
        <v>432</v>
      </c>
      <c r="N43" s="16" t="s">
        <v>69</v>
      </c>
      <c r="O43" s="16"/>
    </row>
    <row r="44" customFormat="false" ht="117.75" hidden="false" customHeight="true" outlineLevel="0" collapsed="false">
      <c r="A44" s="8" t="s">
        <v>433</v>
      </c>
      <c r="B44" s="16" t="s">
        <v>343</v>
      </c>
      <c r="C44" s="16" t="s">
        <v>434</v>
      </c>
      <c r="D44" s="16" t="s">
        <v>435</v>
      </c>
      <c r="E44" s="18" t="s">
        <v>43</v>
      </c>
      <c r="F44" s="17" t="s">
        <v>50</v>
      </c>
      <c r="G44" s="16" t="s">
        <v>436</v>
      </c>
      <c r="H44" s="16" t="s">
        <v>91</v>
      </c>
      <c r="I44" s="16" t="s">
        <v>437</v>
      </c>
      <c r="J44" s="16" t="s">
        <v>438</v>
      </c>
      <c r="K44" s="16" t="s">
        <v>439</v>
      </c>
      <c r="L44" s="16" t="s">
        <v>440</v>
      </c>
      <c r="M44" s="16" t="s">
        <v>441</v>
      </c>
      <c r="N44" s="16" t="s">
        <v>69</v>
      </c>
      <c r="O44" s="16"/>
    </row>
    <row r="45" customFormat="false" ht="117.75" hidden="false" customHeight="true" outlineLevel="0" collapsed="false">
      <c r="A45" s="8" t="s">
        <v>442</v>
      </c>
      <c r="B45" s="16" t="s">
        <v>343</v>
      </c>
      <c r="C45" s="16" t="s">
        <v>443</v>
      </c>
      <c r="D45" s="16" t="s">
        <v>444</v>
      </c>
      <c r="E45" s="18" t="s">
        <v>43</v>
      </c>
      <c r="F45" s="19" t="s">
        <v>51</v>
      </c>
      <c r="G45" s="16" t="s">
        <v>445</v>
      </c>
      <c r="H45" s="16" t="s">
        <v>230</v>
      </c>
      <c r="I45" s="16" t="s">
        <v>446</v>
      </c>
      <c r="J45" s="16" t="s">
        <v>447</v>
      </c>
      <c r="K45" s="16" t="s">
        <v>448</v>
      </c>
      <c r="L45" s="16" t="s">
        <v>449</v>
      </c>
      <c r="M45" s="16" t="s">
        <v>136</v>
      </c>
      <c r="N45" s="16" t="s">
        <v>69</v>
      </c>
      <c r="O45" s="16"/>
    </row>
    <row r="46" customFormat="false" ht="117.75" hidden="false" customHeight="true" outlineLevel="0" collapsed="false">
      <c r="A46" s="8" t="s">
        <v>450</v>
      </c>
      <c r="B46" s="16" t="s">
        <v>343</v>
      </c>
      <c r="C46" s="16" t="s">
        <v>451</v>
      </c>
      <c r="D46" s="16" t="s">
        <v>452</v>
      </c>
      <c r="E46" s="18" t="s">
        <v>43</v>
      </c>
      <c r="F46" s="17" t="s">
        <v>50</v>
      </c>
      <c r="G46" s="16" t="s">
        <v>453</v>
      </c>
      <c r="H46" s="16" t="s">
        <v>91</v>
      </c>
      <c r="I46" s="16" t="s">
        <v>454</v>
      </c>
      <c r="J46" s="16" t="s">
        <v>455</v>
      </c>
      <c r="K46" s="16" t="s">
        <v>456</v>
      </c>
      <c r="L46" s="16" t="s">
        <v>457</v>
      </c>
      <c r="M46" s="16" t="s">
        <v>392</v>
      </c>
      <c r="N46" s="16" t="s">
        <v>69</v>
      </c>
      <c r="O46" s="16"/>
    </row>
    <row r="47" customFormat="false" ht="117.75" hidden="false" customHeight="true" outlineLevel="0" collapsed="false">
      <c r="A47" s="8" t="s">
        <v>458</v>
      </c>
      <c r="B47" s="16" t="s">
        <v>343</v>
      </c>
      <c r="C47" s="16" t="s">
        <v>459</v>
      </c>
      <c r="D47" s="16" t="s">
        <v>460</v>
      </c>
      <c r="E47" s="19" t="s">
        <v>44</v>
      </c>
      <c r="F47" s="19" t="s">
        <v>51</v>
      </c>
      <c r="G47" s="16" t="s">
        <v>222</v>
      </c>
      <c r="H47" s="16" t="s">
        <v>230</v>
      </c>
      <c r="I47" s="16" t="s">
        <v>461</v>
      </c>
      <c r="J47" s="16" t="s">
        <v>462</v>
      </c>
      <c r="K47" s="16" t="s">
        <v>463</v>
      </c>
      <c r="L47" s="16" t="s">
        <v>464</v>
      </c>
      <c r="M47" s="16" t="s">
        <v>96</v>
      </c>
      <c r="N47" s="16" t="s">
        <v>69</v>
      </c>
      <c r="O47" s="16"/>
    </row>
    <row r="48" customFormat="false" ht="117.75" hidden="false" customHeight="true" outlineLevel="0" collapsed="false">
      <c r="A48" s="8" t="s">
        <v>465</v>
      </c>
      <c r="B48" s="16" t="s">
        <v>343</v>
      </c>
      <c r="C48" s="16" t="s">
        <v>466</v>
      </c>
      <c r="D48" s="16" t="s">
        <v>467</v>
      </c>
      <c r="E48" s="19" t="s">
        <v>44</v>
      </c>
      <c r="F48" s="19" t="s">
        <v>51</v>
      </c>
      <c r="G48" s="16" t="s">
        <v>468</v>
      </c>
      <c r="H48" s="16" t="s">
        <v>91</v>
      </c>
      <c r="I48" s="16" t="s">
        <v>469</v>
      </c>
      <c r="J48" s="16" t="s">
        <v>470</v>
      </c>
      <c r="K48" s="16" t="s">
        <v>471</v>
      </c>
      <c r="L48" s="16" t="s">
        <v>472</v>
      </c>
      <c r="M48" s="16" t="s">
        <v>57</v>
      </c>
      <c r="N48" s="16" t="s">
        <v>69</v>
      </c>
      <c r="O48" s="16"/>
    </row>
    <row r="49" customFormat="false" ht="117.75" hidden="false" customHeight="true" outlineLevel="0" collapsed="false">
      <c r="A49" s="8" t="s">
        <v>473</v>
      </c>
      <c r="B49" s="16" t="s">
        <v>343</v>
      </c>
      <c r="C49" s="16" t="s">
        <v>474</v>
      </c>
      <c r="D49" s="16" t="s">
        <v>475</v>
      </c>
      <c r="E49" s="18" t="s">
        <v>43</v>
      </c>
      <c r="F49" s="17" t="s">
        <v>50</v>
      </c>
      <c r="G49" s="16" t="s">
        <v>190</v>
      </c>
      <c r="H49" s="16" t="s">
        <v>91</v>
      </c>
      <c r="I49" s="16" t="s">
        <v>476</v>
      </c>
      <c r="J49" s="16" t="s">
        <v>477</v>
      </c>
      <c r="K49" s="16" t="s">
        <v>478</v>
      </c>
      <c r="L49" s="16" t="s">
        <v>479</v>
      </c>
      <c r="M49" s="16" t="s">
        <v>392</v>
      </c>
      <c r="N49" s="16" t="s">
        <v>69</v>
      </c>
      <c r="O49" s="16"/>
    </row>
    <row r="50" customFormat="false" ht="117.75" hidden="false" customHeight="true" outlineLevel="0" collapsed="false">
      <c r="A50" s="8" t="s">
        <v>480</v>
      </c>
      <c r="B50" s="16" t="s">
        <v>343</v>
      </c>
      <c r="C50" s="16" t="s">
        <v>481</v>
      </c>
      <c r="D50" s="16" t="s">
        <v>482</v>
      </c>
      <c r="E50" s="19" t="s">
        <v>44</v>
      </c>
      <c r="F50" s="17" t="s">
        <v>50</v>
      </c>
      <c r="G50" s="16" t="s">
        <v>483</v>
      </c>
      <c r="H50" s="16" t="s">
        <v>91</v>
      </c>
      <c r="I50" s="16" t="s">
        <v>484</v>
      </c>
      <c r="J50" s="16" t="s">
        <v>485</v>
      </c>
      <c r="K50" s="16" t="s">
        <v>486</v>
      </c>
      <c r="L50" s="16" t="s">
        <v>487</v>
      </c>
      <c r="M50" s="16" t="s">
        <v>298</v>
      </c>
      <c r="N50" s="16" t="s">
        <v>69</v>
      </c>
      <c r="O50" s="16"/>
    </row>
    <row r="51" customFormat="false" ht="117.75" hidden="false" customHeight="true" outlineLevel="0" collapsed="false">
      <c r="A51" s="8" t="s">
        <v>488</v>
      </c>
      <c r="B51" s="16" t="s">
        <v>343</v>
      </c>
      <c r="C51" s="16" t="s">
        <v>489</v>
      </c>
      <c r="D51" s="16" t="s">
        <v>490</v>
      </c>
      <c r="E51" s="19" t="s">
        <v>44</v>
      </c>
      <c r="F51" s="19" t="s">
        <v>51</v>
      </c>
      <c r="G51" s="16" t="s">
        <v>491</v>
      </c>
      <c r="H51" s="16" t="s">
        <v>91</v>
      </c>
      <c r="I51" s="16" t="s">
        <v>492</v>
      </c>
      <c r="J51" s="16" t="s">
        <v>493</v>
      </c>
      <c r="K51" s="16" t="s">
        <v>494</v>
      </c>
      <c r="L51" s="16" t="s">
        <v>495</v>
      </c>
      <c r="M51" s="16" t="s">
        <v>496</v>
      </c>
      <c r="N51" s="16" t="s">
        <v>69</v>
      </c>
      <c r="O51" s="16"/>
    </row>
    <row r="52" customFormat="false" ht="117.75" hidden="false" customHeight="true" outlineLevel="0" collapsed="false">
      <c r="A52" s="8" t="s">
        <v>497</v>
      </c>
      <c r="B52" s="16" t="s">
        <v>343</v>
      </c>
      <c r="C52" s="16" t="s">
        <v>498</v>
      </c>
      <c r="D52" s="16" t="s">
        <v>499</v>
      </c>
      <c r="E52" s="20" t="s">
        <v>45</v>
      </c>
      <c r="F52" s="21" t="s">
        <v>52</v>
      </c>
      <c r="G52" s="16" t="s">
        <v>500</v>
      </c>
      <c r="H52" s="16" t="s">
        <v>91</v>
      </c>
      <c r="I52" s="16" t="s">
        <v>501</v>
      </c>
      <c r="J52" s="16" t="s">
        <v>502</v>
      </c>
      <c r="K52" s="16" t="s">
        <v>503</v>
      </c>
      <c r="L52" s="16" t="s">
        <v>504</v>
      </c>
      <c r="M52" s="16" t="s">
        <v>96</v>
      </c>
      <c r="N52" s="16" t="s">
        <v>69</v>
      </c>
      <c r="O52" s="16"/>
    </row>
    <row r="53" customFormat="false" ht="117.75" hidden="false" customHeight="true" outlineLevel="0" collapsed="false">
      <c r="A53" s="8" t="s">
        <v>505</v>
      </c>
      <c r="B53" s="16" t="s">
        <v>343</v>
      </c>
      <c r="C53" s="16" t="s">
        <v>506</v>
      </c>
      <c r="D53" s="16" t="s">
        <v>507</v>
      </c>
      <c r="E53" s="20" t="s">
        <v>45</v>
      </c>
      <c r="F53" s="21" t="s">
        <v>52</v>
      </c>
      <c r="G53" s="16" t="s">
        <v>508</v>
      </c>
      <c r="H53" s="16" t="s">
        <v>91</v>
      </c>
      <c r="I53" s="16" t="s">
        <v>509</v>
      </c>
      <c r="J53" s="16" t="s">
        <v>510</v>
      </c>
      <c r="K53" s="16" t="s">
        <v>511</v>
      </c>
      <c r="L53" s="16" t="s">
        <v>512</v>
      </c>
      <c r="M53" s="16" t="s">
        <v>57</v>
      </c>
      <c r="N53" s="16" t="s">
        <v>69</v>
      </c>
      <c r="O53" s="16"/>
    </row>
    <row r="54" customFormat="false" ht="117.75" hidden="false" customHeight="true" outlineLevel="0" collapsed="false">
      <c r="A54" s="8" t="s">
        <v>513</v>
      </c>
      <c r="B54" s="16" t="s">
        <v>343</v>
      </c>
      <c r="C54" s="16" t="s">
        <v>514</v>
      </c>
      <c r="D54" s="16" t="s">
        <v>515</v>
      </c>
      <c r="E54" s="20" t="s">
        <v>45</v>
      </c>
      <c r="F54" s="21" t="s">
        <v>52</v>
      </c>
      <c r="G54" s="16" t="s">
        <v>516</v>
      </c>
      <c r="H54" s="16" t="s">
        <v>91</v>
      </c>
      <c r="I54" s="16" t="s">
        <v>517</v>
      </c>
      <c r="J54" s="16" t="s">
        <v>518</v>
      </c>
      <c r="K54" s="16" t="s">
        <v>519</v>
      </c>
      <c r="L54" s="16" t="s">
        <v>520</v>
      </c>
      <c r="M54" s="16" t="s">
        <v>57</v>
      </c>
      <c r="N54" s="16" t="s">
        <v>69</v>
      </c>
      <c r="O54" s="16"/>
    </row>
    <row r="55" customFormat="false" ht="117.75" hidden="false" customHeight="true" outlineLevel="0" collapsed="false">
      <c r="A55" s="8" t="s">
        <v>521</v>
      </c>
      <c r="B55" s="16" t="s">
        <v>343</v>
      </c>
      <c r="C55" s="16" t="s">
        <v>522</v>
      </c>
      <c r="D55" s="16" t="s">
        <v>523</v>
      </c>
      <c r="E55" s="20" t="s">
        <v>45</v>
      </c>
      <c r="F55" s="21" t="s">
        <v>52</v>
      </c>
      <c r="G55" s="16" t="s">
        <v>468</v>
      </c>
      <c r="H55" s="16" t="s">
        <v>91</v>
      </c>
      <c r="I55" s="16" t="s">
        <v>524</v>
      </c>
      <c r="J55" s="16" t="s">
        <v>525</v>
      </c>
      <c r="K55" s="16" t="s">
        <v>526</v>
      </c>
      <c r="L55" s="16" t="s">
        <v>527</v>
      </c>
      <c r="M55" s="16" t="s">
        <v>57</v>
      </c>
      <c r="N55" s="16" t="s">
        <v>69</v>
      </c>
      <c r="O55" s="16"/>
    </row>
    <row r="56" customFormat="false" ht="117.75" hidden="false" customHeight="true" outlineLevel="0" collapsed="false">
      <c r="A56" s="8" t="s">
        <v>528</v>
      </c>
      <c r="B56" s="16" t="s">
        <v>343</v>
      </c>
      <c r="C56" s="16" t="s">
        <v>529</v>
      </c>
      <c r="D56" s="16" t="s">
        <v>530</v>
      </c>
      <c r="E56" s="18" t="s">
        <v>43</v>
      </c>
      <c r="F56" s="17" t="s">
        <v>50</v>
      </c>
      <c r="G56" s="16" t="s">
        <v>531</v>
      </c>
      <c r="H56" s="16" t="s">
        <v>532</v>
      </c>
      <c r="I56" s="16" t="s">
        <v>533</v>
      </c>
      <c r="J56" s="16" t="s">
        <v>534</v>
      </c>
      <c r="K56" s="16" t="s">
        <v>535</v>
      </c>
      <c r="L56" s="16" t="s">
        <v>536</v>
      </c>
      <c r="M56" s="16" t="s">
        <v>537</v>
      </c>
      <c r="N56" s="16" t="s">
        <v>69</v>
      </c>
      <c r="O56" s="16"/>
    </row>
    <row r="57" customFormat="false" ht="117.75" hidden="false" customHeight="true" outlineLevel="0" collapsed="false">
      <c r="A57" s="8" t="s">
        <v>538</v>
      </c>
      <c r="B57" s="16" t="s">
        <v>343</v>
      </c>
      <c r="C57" s="16" t="s">
        <v>539</v>
      </c>
      <c r="D57" s="16" t="s">
        <v>540</v>
      </c>
      <c r="E57" s="19" t="s">
        <v>44</v>
      </c>
      <c r="F57" s="19" t="s">
        <v>51</v>
      </c>
      <c r="G57" s="16" t="s">
        <v>55</v>
      </c>
      <c r="H57" s="16" t="s">
        <v>91</v>
      </c>
      <c r="I57" s="16" t="s">
        <v>541</v>
      </c>
      <c r="J57" s="16" t="s">
        <v>542</v>
      </c>
      <c r="K57" s="16" t="s">
        <v>543</v>
      </c>
      <c r="L57" s="16" t="s">
        <v>544</v>
      </c>
      <c r="M57" s="16" t="s">
        <v>96</v>
      </c>
      <c r="N57" s="16" t="s">
        <v>69</v>
      </c>
      <c r="O57" s="16"/>
    </row>
    <row r="58" customFormat="false" ht="117.75" hidden="false" customHeight="true" outlineLevel="0" collapsed="false">
      <c r="A58" s="8" t="s">
        <v>545</v>
      </c>
      <c r="B58" s="16" t="s">
        <v>343</v>
      </c>
      <c r="C58" s="16" t="s">
        <v>546</v>
      </c>
      <c r="D58" s="16" t="s">
        <v>547</v>
      </c>
      <c r="E58" s="18" t="s">
        <v>43</v>
      </c>
      <c r="F58" s="17" t="s">
        <v>50</v>
      </c>
      <c r="G58" s="16" t="s">
        <v>548</v>
      </c>
      <c r="H58" s="16" t="s">
        <v>91</v>
      </c>
      <c r="I58" s="16" t="s">
        <v>549</v>
      </c>
      <c r="J58" s="16" t="s">
        <v>550</v>
      </c>
      <c r="K58" s="16" t="s">
        <v>551</v>
      </c>
      <c r="L58" s="16" t="s">
        <v>552</v>
      </c>
      <c r="M58" s="16" t="s">
        <v>105</v>
      </c>
      <c r="N58" s="16" t="s">
        <v>69</v>
      </c>
      <c r="O58" s="16"/>
    </row>
    <row r="59" customFormat="false" ht="117.75" hidden="false" customHeight="true" outlineLevel="0" collapsed="false">
      <c r="A59" s="8" t="s">
        <v>553</v>
      </c>
      <c r="B59" s="16" t="s">
        <v>343</v>
      </c>
      <c r="C59" s="16" t="s">
        <v>554</v>
      </c>
      <c r="D59" s="16" t="s">
        <v>555</v>
      </c>
      <c r="E59" s="19" t="s">
        <v>44</v>
      </c>
      <c r="F59" s="19" t="s">
        <v>51</v>
      </c>
      <c r="G59" s="16" t="s">
        <v>556</v>
      </c>
      <c r="H59" s="16" t="s">
        <v>230</v>
      </c>
      <c r="I59" s="16" t="s">
        <v>557</v>
      </c>
      <c r="J59" s="16" t="s">
        <v>558</v>
      </c>
      <c r="K59" s="16" t="s">
        <v>559</v>
      </c>
      <c r="L59" s="16" t="s">
        <v>560</v>
      </c>
      <c r="M59" s="16" t="s">
        <v>136</v>
      </c>
      <c r="N59" s="16" t="s">
        <v>69</v>
      </c>
      <c r="O59" s="16"/>
    </row>
    <row r="60" customFormat="false" ht="117.75" hidden="false" customHeight="true" outlineLevel="0" collapsed="false">
      <c r="A60" s="8" t="s">
        <v>561</v>
      </c>
      <c r="B60" s="16" t="s">
        <v>343</v>
      </c>
      <c r="C60" s="16" t="s">
        <v>562</v>
      </c>
      <c r="D60" s="16" t="s">
        <v>563</v>
      </c>
      <c r="E60" s="20" t="s">
        <v>45</v>
      </c>
      <c r="F60" s="21" t="s">
        <v>52</v>
      </c>
      <c r="G60" s="16" t="s">
        <v>564</v>
      </c>
      <c r="H60" s="16" t="s">
        <v>230</v>
      </c>
      <c r="I60" s="16" t="s">
        <v>565</v>
      </c>
      <c r="J60" s="16" t="s">
        <v>566</v>
      </c>
      <c r="K60" s="16" t="s">
        <v>567</v>
      </c>
      <c r="L60" s="16" t="s">
        <v>568</v>
      </c>
      <c r="M60" s="16" t="s">
        <v>367</v>
      </c>
      <c r="N60" s="16" t="s">
        <v>69</v>
      </c>
      <c r="O60" s="16"/>
    </row>
    <row r="61" customFormat="false" ht="117.75" hidden="false" customHeight="true" outlineLevel="0" collapsed="false">
      <c r="A61" s="8" t="s">
        <v>569</v>
      </c>
      <c r="B61" s="16" t="s">
        <v>343</v>
      </c>
      <c r="C61" s="16" t="s">
        <v>570</v>
      </c>
      <c r="D61" s="16" t="s">
        <v>571</v>
      </c>
      <c r="E61" s="19" t="s">
        <v>44</v>
      </c>
      <c r="F61" s="19" t="s">
        <v>51</v>
      </c>
      <c r="G61" s="16" t="s">
        <v>572</v>
      </c>
      <c r="H61" s="16" t="s">
        <v>91</v>
      </c>
      <c r="I61" s="16" t="s">
        <v>573</v>
      </c>
      <c r="J61" s="16" t="s">
        <v>574</v>
      </c>
      <c r="K61" s="16" t="s">
        <v>575</v>
      </c>
      <c r="L61" s="16" t="s">
        <v>576</v>
      </c>
      <c r="M61" s="16" t="s">
        <v>432</v>
      </c>
      <c r="N61" s="16" t="s">
        <v>69</v>
      </c>
      <c r="O61" s="16"/>
    </row>
    <row r="62" customFormat="false" ht="117.75" hidden="false" customHeight="true" outlineLevel="0" collapsed="false">
      <c r="A62" s="8" t="s">
        <v>577</v>
      </c>
      <c r="B62" s="16" t="s">
        <v>343</v>
      </c>
      <c r="C62" s="16" t="s">
        <v>578</v>
      </c>
      <c r="D62" s="16" t="s">
        <v>579</v>
      </c>
      <c r="E62" s="20" t="s">
        <v>45</v>
      </c>
      <c r="F62" s="21" t="s">
        <v>52</v>
      </c>
      <c r="G62" s="16" t="s">
        <v>164</v>
      </c>
      <c r="H62" s="16" t="s">
        <v>91</v>
      </c>
      <c r="I62" s="16" t="s">
        <v>580</v>
      </c>
      <c r="J62" s="16" t="s">
        <v>581</v>
      </c>
      <c r="K62" s="16" t="s">
        <v>582</v>
      </c>
      <c r="L62" s="16" t="s">
        <v>583</v>
      </c>
      <c r="M62" s="16" t="s">
        <v>392</v>
      </c>
      <c r="N62" s="16" t="s">
        <v>69</v>
      </c>
      <c r="O62" s="16"/>
    </row>
    <row r="63" customFormat="false" ht="117.75" hidden="false" customHeight="true" outlineLevel="0" collapsed="false">
      <c r="A63" s="8" t="s">
        <v>584</v>
      </c>
      <c r="B63" s="16" t="s">
        <v>343</v>
      </c>
      <c r="C63" s="16" t="s">
        <v>585</v>
      </c>
      <c r="D63" s="16" t="s">
        <v>586</v>
      </c>
      <c r="E63" s="19" t="s">
        <v>44</v>
      </c>
      <c r="F63" s="19" t="s">
        <v>51</v>
      </c>
      <c r="G63" s="16" t="s">
        <v>587</v>
      </c>
      <c r="H63" s="16" t="s">
        <v>214</v>
      </c>
      <c r="I63" s="16" t="s">
        <v>588</v>
      </c>
      <c r="J63" s="16" t="s">
        <v>589</v>
      </c>
      <c r="K63" s="16" t="s">
        <v>590</v>
      </c>
      <c r="L63" s="16" t="s">
        <v>591</v>
      </c>
      <c r="M63" s="16" t="s">
        <v>592</v>
      </c>
      <c r="N63" s="16" t="s">
        <v>69</v>
      </c>
      <c r="O63" s="16"/>
    </row>
    <row r="64" customFormat="false" ht="117.75" hidden="false" customHeight="true" outlineLevel="0" collapsed="false">
      <c r="A64" s="8" t="s">
        <v>593</v>
      </c>
      <c r="B64" s="16" t="s">
        <v>343</v>
      </c>
      <c r="C64" s="16" t="s">
        <v>594</v>
      </c>
      <c r="D64" s="16" t="s">
        <v>595</v>
      </c>
      <c r="E64" s="20" t="s">
        <v>45</v>
      </c>
      <c r="F64" s="21" t="s">
        <v>52</v>
      </c>
      <c r="G64" s="16" t="s">
        <v>556</v>
      </c>
      <c r="H64" s="16" t="s">
        <v>214</v>
      </c>
      <c r="I64" s="16" t="s">
        <v>596</v>
      </c>
      <c r="J64" s="16" t="s">
        <v>597</v>
      </c>
      <c r="K64" s="16" t="s">
        <v>598</v>
      </c>
      <c r="L64" s="16" t="s">
        <v>599</v>
      </c>
      <c r="M64" s="16" t="s">
        <v>58</v>
      </c>
      <c r="N64" s="16" t="s">
        <v>69</v>
      </c>
      <c r="O64" s="16"/>
    </row>
    <row r="65" customFormat="false" ht="117.75" hidden="false" customHeight="true" outlineLevel="0" collapsed="false">
      <c r="A65" s="8" t="s">
        <v>600</v>
      </c>
      <c r="B65" s="16" t="s">
        <v>343</v>
      </c>
      <c r="C65" s="16" t="s">
        <v>601</v>
      </c>
      <c r="D65" s="16" t="s">
        <v>602</v>
      </c>
      <c r="E65" s="20" t="s">
        <v>45</v>
      </c>
      <c r="F65" s="21" t="s">
        <v>52</v>
      </c>
      <c r="G65" s="16" t="s">
        <v>57</v>
      </c>
      <c r="H65" s="16" t="s">
        <v>91</v>
      </c>
      <c r="I65" s="16" t="s">
        <v>603</v>
      </c>
      <c r="J65" s="16" t="s">
        <v>604</v>
      </c>
      <c r="K65" s="16" t="s">
        <v>605</v>
      </c>
      <c r="L65" s="16" t="s">
        <v>606</v>
      </c>
      <c r="M65" s="16" t="s">
        <v>57</v>
      </c>
      <c r="N65" s="16" t="s">
        <v>69</v>
      </c>
      <c r="O65" s="16"/>
    </row>
    <row r="66" customFormat="false" ht="117.75" hidden="false" customHeight="true" outlineLevel="0" collapsed="false">
      <c r="A66" s="8" t="s">
        <v>607</v>
      </c>
      <c r="B66" s="16" t="s">
        <v>343</v>
      </c>
      <c r="C66" s="16" t="s">
        <v>608</v>
      </c>
      <c r="D66" s="16" t="s">
        <v>609</v>
      </c>
      <c r="E66" s="19" t="s">
        <v>44</v>
      </c>
      <c r="F66" s="19" t="s">
        <v>51</v>
      </c>
      <c r="G66" s="16" t="s">
        <v>55</v>
      </c>
      <c r="H66" s="16" t="s">
        <v>91</v>
      </c>
      <c r="I66" s="16" t="s">
        <v>610</v>
      </c>
      <c r="J66" s="16" t="s">
        <v>611</v>
      </c>
      <c r="K66" s="16" t="s">
        <v>612</v>
      </c>
      <c r="L66" s="16" t="s">
        <v>613</v>
      </c>
      <c r="M66" s="16" t="s">
        <v>537</v>
      </c>
      <c r="N66" s="16" t="s">
        <v>69</v>
      </c>
      <c r="O66" s="16"/>
    </row>
    <row r="67" customFormat="false" ht="117.75" hidden="false" customHeight="true" outlineLevel="0" collapsed="false">
      <c r="A67" s="8" t="s">
        <v>614</v>
      </c>
      <c r="B67" s="16" t="s">
        <v>343</v>
      </c>
      <c r="C67" s="16" t="s">
        <v>615</v>
      </c>
      <c r="D67" s="16" t="s">
        <v>616</v>
      </c>
      <c r="E67" s="19" t="s">
        <v>44</v>
      </c>
      <c r="F67" s="19" t="s">
        <v>51</v>
      </c>
      <c r="G67" s="16" t="s">
        <v>617</v>
      </c>
      <c r="H67" s="16" t="s">
        <v>91</v>
      </c>
      <c r="I67" s="16" t="s">
        <v>618</v>
      </c>
      <c r="J67" s="16" t="s">
        <v>619</v>
      </c>
      <c r="K67" s="16" t="s">
        <v>620</v>
      </c>
      <c r="L67" s="16" t="s">
        <v>621</v>
      </c>
      <c r="M67" s="16" t="s">
        <v>96</v>
      </c>
      <c r="N67" s="16" t="s">
        <v>69</v>
      </c>
      <c r="O67" s="16"/>
    </row>
    <row r="68" customFormat="false" ht="117.75" hidden="false" customHeight="true" outlineLevel="0" collapsed="false">
      <c r="A68" s="8" t="s">
        <v>622</v>
      </c>
      <c r="B68" s="16" t="s">
        <v>343</v>
      </c>
      <c r="C68" s="16" t="s">
        <v>623</v>
      </c>
      <c r="D68" s="16" t="s">
        <v>624</v>
      </c>
      <c r="E68" s="20" t="s">
        <v>45</v>
      </c>
      <c r="F68" s="21" t="s">
        <v>52</v>
      </c>
      <c r="G68" s="16" t="s">
        <v>55</v>
      </c>
      <c r="H68" s="16" t="s">
        <v>91</v>
      </c>
      <c r="I68" s="16" t="s">
        <v>625</v>
      </c>
      <c r="J68" s="16" t="s">
        <v>626</v>
      </c>
      <c r="K68" s="16" t="s">
        <v>627</v>
      </c>
      <c r="L68" s="16" t="s">
        <v>628</v>
      </c>
      <c r="M68" s="16" t="s">
        <v>96</v>
      </c>
      <c r="N68" s="16" t="s">
        <v>69</v>
      </c>
      <c r="O68" s="16"/>
    </row>
  </sheetData>
  <autoFilter ref="A1:O68"/>
  <dataValidations count="1">
    <dataValidation allowBlank="true" errorStyle="stop" operator="between" showDropDown="false" showErrorMessage="false" showInputMessage="false" sqref="N2:N68" type="list">
      <formula1>"Open,In Progress,Fixed,Verified,Won't Fix,Duplicate,Cannot Reproduce"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0"/>
    <col collapsed="false" customWidth="true" hidden="false" outlineLevel="0" max="4" min="4" style="0" width="46"/>
    <col collapsed="false" customWidth="true" hidden="false" outlineLevel="0" max="5" min="5" style="0" width="30"/>
    <col collapsed="false" customWidth="true" hidden="false" outlineLevel="0" max="6" min="6" style="0" width="62"/>
    <col collapsed="false" customWidth="true" hidden="false" outlineLevel="0" max="7" min="7" style="0" width="66"/>
    <col collapsed="false" customWidth="true" hidden="false" outlineLevel="0" max="8" min="8" style="0" width="9"/>
    <col collapsed="false" customWidth="true" hidden="false" outlineLevel="0" max="9" min="9" style="0" width="15"/>
    <col collapsed="false" customWidth="true" hidden="false" outlineLevel="0" max="10" min="10" style="0" width="22"/>
  </cols>
  <sheetData>
    <row r="1" customFormat="false" ht="15" hidden="false" customHeight="false" outlineLevel="0" collapsed="false">
      <c r="A1" s="22" t="s">
        <v>629</v>
      </c>
      <c r="B1" s="22"/>
      <c r="C1" s="22"/>
      <c r="D1" s="22"/>
      <c r="E1" s="22"/>
      <c r="F1" s="22"/>
      <c r="G1" s="22"/>
      <c r="H1" s="22"/>
      <c r="I1" s="22"/>
      <c r="J1" s="22"/>
    </row>
    <row r="2" customFormat="false" ht="15" hidden="false" customHeight="false" outlineLevel="0" collapsed="false">
      <c r="A2" s="6" t="s">
        <v>630</v>
      </c>
      <c r="B2" s="6" t="s">
        <v>75</v>
      </c>
      <c r="C2" s="6" t="s">
        <v>631</v>
      </c>
      <c r="D2" s="6" t="s">
        <v>632</v>
      </c>
      <c r="E2" s="6" t="s">
        <v>633</v>
      </c>
      <c r="F2" s="6" t="s">
        <v>634</v>
      </c>
      <c r="G2" s="6" t="s">
        <v>82</v>
      </c>
      <c r="H2" s="6" t="s">
        <v>48</v>
      </c>
      <c r="I2" s="6" t="s">
        <v>66</v>
      </c>
      <c r="J2" s="6" t="s">
        <v>85</v>
      </c>
    </row>
    <row r="3" customFormat="false" ht="105.75" hidden="false" customHeight="true" outlineLevel="0" collapsed="false">
      <c r="A3" s="8" t="s">
        <v>635</v>
      </c>
      <c r="B3" s="16" t="s">
        <v>636</v>
      </c>
      <c r="C3" s="16" t="s">
        <v>637</v>
      </c>
      <c r="D3" s="16" t="s">
        <v>638</v>
      </c>
      <c r="E3" s="16" t="s">
        <v>639</v>
      </c>
      <c r="F3" s="16" t="s">
        <v>640</v>
      </c>
      <c r="G3" s="16" t="s">
        <v>641</v>
      </c>
      <c r="H3" s="17" t="s">
        <v>50</v>
      </c>
      <c r="I3" s="16" t="s">
        <v>642</v>
      </c>
      <c r="J3" s="16"/>
    </row>
    <row r="4" customFormat="false" ht="105.75" hidden="false" customHeight="true" outlineLevel="0" collapsed="false">
      <c r="A4" s="8" t="s">
        <v>643</v>
      </c>
      <c r="B4" s="16" t="s">
        <v>343</v>
      </c>
      <c r="C4" s="16" t="s">
        <v>644</v>
      </c>
      <c r="D4" s="16" t="s">
        <v>645</v>
      </c>
      <c r="E4" s="16" t="s">
        <v>646</v>
      </c>
      <c r="F4" s="16" t="s">
        <v>647</v>
      </c>
      <c r="G4" s="16" t="s">
        <v>648</v>
      </c>
      <c r="H4" s="17" t="s">
        <v>50</v>
      </c>
      <c r="I4" s="16" t="s">
        <v>642</v>
      </c>
      <c r="J4" s="16"/>
    </row>
    <row r="5" customFormat="false" ht="105.75" hidden="false" customHeight="true" outlineLevel="0" collapsed="false">
      <c r="A5" s="8" t="s">
        <v>649</v>
      </c>
      <c r="B5" s="16" t="s">
        <v>636</v>
      </c>
      <c r="C5" s="16" t="s">
        <v>650</v>
      </c>
      <c r="D5" s="16" t="s">
        <v>651</v>
      </c>
      <c r="E5" s="16" t="s">
        <v>91</v>
      </c>
      <c r="F5" s="16" t="s">
        <v>652</v>
      </c>
      <c r="G5" s="16" t="s">
        <v>653</v>
      </c>
      <c r="H5" s="17" t="s">
        <v>50</v>
      </c>
      <c r="I5" s="16" t="s">
        <v>642</v>
      </c>
      <c r="J5" s="16"/>
    </row>
    <row r="6" customFormat="false" ht="105.75" hidden="false" customHeight="true" outlineLevel="0" collapsed="false">
      <c r="A6" s="8" t="s">
        <v>654</v>
      </c>
      <c r="B6" s="16" t="s">
        <v>636</v>
      </c>
      <c r="C6" s="16" t="s">
        <v>655</v>
      </c>
      <c r="D6" s="16" t="s">
        <v>656</v>
      </c>
      <c r="E6" s="16" t="s">
        <v>657</v>
      </c>
      <c r="F6" s="16" t="s">
        <v>658</v>
      </c>
      <c r="G6" s="16" t="s">
        <v>659</v>
      </c>
      <c r="H6" s="17" t="s">
        <v>50</v>
      </c>
      <c r="I6" s="16" t="s">
        <v>642</v>
      </c>
      <c r="J6" s="16"/>
    </row>
    <row r="7" customFormat="false" ht="105.75" hidden="false" customHeight="true" outlineLevel="0" collapsed="false">
      <c r="A7" s="8" t="s">
        <v>660</v>
      </c>
      <c r="B7" s="16" t="s">
        <v>636</v>
      </c>
      <c r="C7" s="16" t="s">
        <v>661</v>
      </c>
      <c r="D7" s="16" t="s">
        <v>662</v>
      </c>
      <c r="E7" s="16" t="s">
        <v>91</v>
      </c>
      <c r="F7" s="16" t="s">
        <v>663</v>
      </c>
      <c r="G7" s="16" t="s">
        <v>664</v>
      </c>
      <c r="H7" s="17" t="s">
        <v>50</v>
      </c>
      <c r="I7" s="16" t="s">
        <v>642</v>
      </c>
      <c r="J7" s="16"/>
    </row>
    <row r="8" customFormat="false" ht="105.75" hidden="false" customHeight="true" outlineLevel="0" collapsed="false">
      <c r="A8" s="8" t="s">
        <v>665</v>
      </c>
      <c r="B8" s="16" t="s">
        <v>636</v>
      </c>
      <c r="C8" s="16" t="s">
        <v>666</v>
      </c>
      <c r="D8" s="16" t="s">
        <v>667</v>
      </c>
      <c r="E8" s="16" t="s">
        <v>668</v>
      </c>
      <c r="F8" s="16" t="s">
        <v>669</v>
      </c>
      <c r="G8" s="16" t="s">
        <v>670</v>
      </c>
      <c r="H8" s="17" t="s">
        <v>50</v>
      </c>
      <c r="I8" s="16" t="s">
        <v>642</v>
      </c>
      <c r="J8" s="16"/>
    </row>
    <row r="9" customFormat="false" ht="105.75" hidden="false" customHeight="true" outlineLevel="0" collapsed="false">
      <c r="A9" s="8" t="s">
        <v>671</v>
      </c>
      <c r="B9" s="16" t="s">
        <v>636</v>
      </c>
      <c r="C9" s="16" t="s">
        <v>672</v>
      </c>
      <c r="D9" s="16" t="s">
        <v>673</v>
      </c>
      <c r="E9" s="16" t="s">
        <v>674</v>
      </c>
      <c r="F9" s="16" t="s">
        <v>675</v>
      </c>
      <c r="G9" s="16" t="s">
        <v>676</v>
      </c>
      <c r="H9" s="17" t="s">
        <v>50</v>
      </c>
      <c r="I9" s="16" t="s">
        <v>642</v>
      </c>
      <c r="J9" s="16"/>
    </row>
    <row r="10" customFormat="false" ht="105.75" hidden="false" customHeight="true" outlineLevel="0" collapsed="false">
      <c r="A10" s="8" t="s">
        <v>677</v>
      </c>
      <c r="B10" s="16" t="s">
        <v>636</v>
      </c>
      <c r="C10" s="16" t="s">
        <v>678</v>
      </c>
      <c r="D10" s="16" t="s">
        <v>679</v>
      </c>
      <c r="E10" s="16" t="s">
        <v>680</v>
      </c>
      <c r="F10" s="16" t="s">
        <v>681</v>
      </c>
      <c r="G10" s="16" t="s">
        <v>682</v>
      </c>
      <c r="H10" s="17" t="s">
        <v>50</v>
      </c>
      <c r="I10" s="16" t="s">
        <v>642</v>
      </c>
      <c r="J10" s="16"/>
    </row>
    <row r="11" customFormat="false" ht="105.75" hidden="false" customHeight="true" outlineLevel="0" collapsed="false">
      <c r="A11" s="8" t="s">
        <v>683</v>
      </c>
      <c r="B11" s="16" t="s">
        <v>636</v>
      </c>
      <c r="C11" s="16" t="s">
        <v>684</v>
      </c>
      <c r="D11" s="16" t="s">
        <v>685</v>
      </c>
      <c r="E11" s="16" t="s">
        <v>680</v>
      </c>
      <c r="F11" s="16" t="s">
        <v>686</v>
      </c>
      <c r="G11" s="16" t="s">
        <v>687</v>
      </c>
      <c r="H11" s="17" t="s">
        <v>50</v>
      </c>
      <c r="I11" s="16" t="s">
        <v>642</v>
      </c>
      <c r="J11" s="16"/>
    </row>
    <row r="12" customFormat="false" ht="105.75" hidden="false" customHeight="true" outlineLevel="0" collapsed="false">
      <c r="A12" s="8" t="s">
        <v>688</v>
      </c>
      <c r="B12" s="16" t="s">
        <v>636</v>
      </c>
      <c r="C12" s="16" t="s">
        <v>689</v>
      </c>
      <c r="D12" s="16" t="s">
        <v>690</v>
      </c>
      <c r="E12" s="16" t="s">
        <v>680</v>
      </c>
      <c r="F12" s="16" t="s">
        <v>691</v>
      </c>
      <c r="G12" s="16" t="s">
        <v>692</v>
      </c>
      <c r="H12" s="19" t="s">
        <v>51</v>
      </c>
      <c r="I12" s="16" t="s">
        <v>642</v>
      </c>
      <c r="J12" s="16"/>
    </row>
    <row r="13" customFormat="false" ht="105.75" hidden="false" customHeight="true" outlineLevel="0" collapsed="false">
      <c r="A13" s="8" t="s">
        <v>693</v>
      </c>
      <c r="B13" s="16" t="s">
        <v>343</v>
      </c>
      <c r="C13" s="16" t="s">
        <v>694</v>
      </c>
      <c r="D13" s="16" t="s">
        <v>695</v>
      </c>
      <c r="E13" s="16" t="s">
        <v>696</v>
      </c>
      <c r="F13" s="16" t="s">
        <v>697</v>
      </c>
      <c r="G13" s="16" t="s">
        <v>698</v>
      </c>
      <c r="H13" s="17" t="s">
        <v>50</v>
      </c>
      <c r="I13" s="16" t="s">
        <v>642</v>
      </c>
      <c r="J13" s="16"/>
    </row>
    <row r="14" customFormat="false" ht="105.75" hidden="false" customHeight="true" outlineLevel="0" collapsed="false">
      <c r="A14" s="8" t="s">
        <v>699</v>
      </c>
      <c r="B14" s="16" t="s">
        <v>343</v>
      </c>
      <c r="C14" s="16" t="s">
        <v>700</v>
      </c>
      <c r="D14" s="16" t="s">
        <v>701</v>
      </c>
      <c r="E14" s="16" t="s">
        <v>91</v>
      </c>
      <c r="F14" s="16" t="s">
        <v>702</v>
      </c>
      <c r="G14" s="16" t="s">
        <v>703</v>
      </c>
      <c r="H14" s="19" t="s">
        <v>51</v>
      </c>
      <c r="I14" s="16" t="s">
        <v>642</v>
      </c>
      <c r="J14" s="16"/>
    </row>
    <row r="15" customFormat="false" ht="105.75" hidden="false" customHeight="true" outlineLevel="0" collapsed="false">
      <c r="A15" s="8" t="s">
        <v>704</v>
      </c>
      <c r="B15" s="16" t="s">
        <v>636</v>
      </c>
      <c r="C15" s="16" t="s">
        <v>705</v>
      </c>
      <c r="D15" s="16" t="s">
        <v>706</v>
      </c>
      <c r="E15" s="16" t="s">
        <v>707</v>
      </c>
      <c r="F15" s="16" t="s">
        <v>708</v>
      </c>
      <c r="G15" s="16" t="s">
        <v>709</v>
      </c>
      <c r="H15" s="19" t="s">
        <v>51</v>
      </c>
      <c r="I15" s="16" t="s">
        <v>642</v>
      </c>
      <c r="J15" s="16"/>
    </row>
    <row r="16" customFormat="false" ht="105.75" hidden="false" customHeight="true" outlineLevel="0" collapsed="false">
      <c r="A16" s="8" t="s">
        <v>710</v>
      </c>
      <c r="B16" s="16" t="s">
        <v>636</v>
      </c>
      <c r="C16" s="16" t="s">
        <v>711</v>
      </c>
      <c r="D16" s="16" t="s">
        <v>712</v>
      </c>
      <c r="E16" s="16" t="s">
        <v>91</v>
      </c>
      <c r="F16" s="16" t="s">
        <v>713</v>
      </c>
      <c r="G16" s="16" t="s">
        <v>714</v>
      </c>
      <c r="H16" s="19" t="s">
        <v>51</v>
      </c>
      <c r="I16" s="16" t="s">
        <v>642</v>
      </c>
      <c r="J16" s="16"/>
    </row>
    <row r="17" customFormat="false" ht="105.75" hidden="false" customHeight="true" outlineLevel="0" collapsed="false">
      <c r="A17" s="8" t="s">
        <v>715</v>
      </c>
      <c r="B17" s="16" t="s">
        <v>636</v>
      </c>
      <c r="C17" s="16" t="s">
        <v>716</v>
      </c>
      <c r="D17" s="16" t="s">
        <v>717</v>
      </c>
      <c r="E17" s="16" t="s">
        <v>718</v>
      </c>
      <c r="F17" s="16" t="s">
        <v>719</v>
      </c>
      <c r="G17" s="16" t="s">
        <v>720</v>
      </c>
      <c r="H17" s="17" t="s">
        <v>50</v>
      </c>
      <c r="I17" s="16" t="s">
        <v>642</v>
      </c>
      <c r="J17" s="16"/>
    </row>
    <row r="18" customFormat="false" ht="105.75" hidden="false" customHeight="true" outlineLevel="0" collapsed="false">
      <c r="A18" s="8" t="s">
        <v>721</v>
      </c>
      <c r="B18" s="16" t="s">
        <v>636</v>
      </c>
      <c r="C18" s="16" t="s">
        <v>61</v>
      </c>
      <c r="D18" s="16" t="s">
        <v>722</v>
      </c>
      <c r="E18" s="16" t="s">
        <v>723</v>
      </c>
      <c r="F18" s="16" t="s">
        <v>724</v>
      </c>
      <c r="G18" s="16" t="s">
        <v>725</v>
      </c>
      <c r="H18" s="17" t="s">
        <v>50</v>
      </c>
      <c r="I18" s="16" t="s">
        <v>642</v>
      </c>
      <c r="J18" s="16"/>
    </row>
    <row r="19" customFormat="false" ht="105.75" hidden="false" customHeight="true" outlineLevel="0" collapsed="false">
      <c r="A19" s="8" t="s">
        <v>726</v>
      </c>
      <c r="B19" s="16" t="s">
        <v>636</v>
      </c>
      <c r="C19" s="16" t="s">
        <v>727</v>
      </c>
      <c r="D19" s="16" t="s">
        <v>728</v>
      </c>
      <c r="E19" s="16" t="s">
        <v>91</v>
      </c>
      <c r="F19" s="16" t="s">
        <v>729</v>
      </c>
      <c r="G19" s="16" t="s">
        <v>730</v>
      </c>
      <c r="H19" s="17" t="s">
        <v>50</v>
      </c>
      <c r="I19" s="16" t="s">
        <v>642</v>
      </c>
      <c r="J19" s="16"/>
    </row>
    <row r="20" customFormat="false" ht="105.75" hidden="false" customHeight="true" outlineLevel="0" collapsed="false">
      <c r="A20" s="8" t="s">
        <v>731</v>
      </c>
      <c r="B20" s="16" t="s">
        <v>636</v>
      </c>
      <c r="C20" s="16" t="s">
        <v>732</v>
      </c>
      <c r="D20" s="16" t="s">
        <v>733</v>
      </c>
      <c r="E20" s="16" t="s">
        <v>91</v>
      </c>
      <c r="F20" s="16" t="s">
        <v>734</v>
      </c>
      <c r="G20" s="16" t="s">
        <v>735</v>
      </c>
      <c r="H20" s="17" t="s">
        <v>50</v>
      </c>
      <c r="I20" s="16" t="s">
        <v>642</v>
      </c>
      <c r="J20" s="16"/>
    </row>
    <row r="21" customFormat="false" ht="105.75" hidden="false" customHeight="true" outlineLevel="0" collapsed="false">
      <c r="A21" s="8" t="s">
        <v>736</v>
      </c>
      <c r="B21" s="16" t="s">
        <v>636</v>
      </c>
      <c r="C21" s="16" t="s">
        <v>737</v>
      </c>
      <c r="D21" s="16" t="s">
        <v>738</v>
      </c>
      <c r="E21" s="16" t="s">
        <v>680</v>
      </c>
      <c r="F21" s="16" t="s">
        <v>739</v>
      </c>
      <c r="G21" s="16" t="s">
        <v>740</v>
      </c>
      <c r="H21" s="17" t="s">
        <v>50</v>
      </c>
      <c r="I21" s="16" t="s">
        <v>642</v>
      </c>
      <c r="J21" s="16"/>
    </row>
    <row r="22" customFormat="false" ht="105.75" hidden="false" customHeight="true" outlineLevel="0" collapsed="false">
      <c r="A22" s="8" t="s">
        <v>741</v>
      </c>
      <c r="B22" s="16" t="s">
        <v>636</v>
      </c>
      <c r="C22" s="16" t="s">
        <v>742</v>
      </c>
      <c r="D22" s="16" t="s">
        <v>743</v>
      </c>
      <c r="E22" s="16" t="s">
        <v>91</v>
      </c>
      <c r="F22" s="16" t="s">
        <v>744</v>
      </c>
      <c r="G22" s="16" t="s">
        <v>745</v>
      </c>
      <c r="H22" s="19" t="s">
        <v>51</v>
      </c>
      <c r="I22" s="16" t="s">
        <v>642</v>
      </c>
      <c r="J22" s="16"/>
    </row>
    <row r="23" customFormat="false" ht="105.75" hidden="false" customHeight="true" outlineLevel="0" collapsed="false">
      <c r="A23" s="8" t="s">
        <v>746</v>
      </c>
      <c r="B23" s="16" t="s">
        <v>636</v>
      </c>
      <c r="C23" s="16" t="s">
        <v>747</v>
      </c>
      <c r="D23" s="16" t="s">
        <v>748</v>
      </c>
      <c r="E23" s="16" t="s">
        <v>749</v>
      </c>
      <c r="F23" s="16" t="s">
        <v>750</v>
      </c>
      <c r="G23" s="16" t="s">
        <v>751</v>
      </c>
      <c r="H23" s="17" t="s">
        <v>50</v>
      </c>
      <c r="I23" s="16" t="s">
        <v>642</v>
      </c>
      <c r="J23" s="16"/>
    </row>
    <row r="24" customFormat="false" ht="105.75" hidden="false" customHeight="true" outlineLevel="0" collapsed="false">
      <c r="A24" s="8" t="s">
        <v>752</v>
      </c>
      <c r="B24" s="16" t="s">
        <v>636</v>
      </c>
      <c r="C24" s="16" t="s">
        <v>753</v>
      </c>
      <c r="D24" s="16" t="s">
        <v>754</v>
      </c>
      <c r="E24" s="16" t="s">
        <v>91</v>
      </c>
      <c r="F24" s="16" t="s">
        <v>755</v>
      </c>
      <c r="G24" s="16" t="s">
        <v>756</v>
      </c>
      <c r="H24" s="21" t="s">
        <v>52</v>
      </c>
      <c r="I24" s="16" t="s">
        <v>642</v>
      </c>
      <c r="J24" s="16"/>
    </row>
    <row r="25" customFormat="false" ht="105.75" hidden="false" customHeight="true" outlineLevel="0" collapsed="false">
      <c r="A25" s="8" t="s">
        <v>757</v>
      </c>
      <c r="B25" s="16" t="s">
        <v>636</v>
      </c>
      <c r="C25" s="16" t="s">
        <v>758</v>
      </c>
      <c r="D25" s="16" t="s">
        <v>759</v>
      </c>
      <c r="E25" s="16" t="s">
        <v>91</v>
      </c>
      <c r="F25" s="16" t="s">
        <v>760</v>
      </c>
      <c r="G25" s="16" t="s">
        <v>761</v>
      </c>
      <c r="H25" s="19" t="s">
        <v>51</v>
      </c>
      <c r="I25" s="16" t="s">
        <v>642</v>
      </c>
      <c r="J25" s="16"/>
    </row>
    <row r="26" customFormat="false" ht="105.75" hidden="false" customHeight="true" outlineLevel="0" collapsed="false">
      <c r="A26" s="8" t="s">
        <v>762</v>
      </c>
      <c r="B26" s="16" t="s">
        <v>343</v>
      </c>
      <c r="C26" s="16" t="s">
        <v>763</v>
      </c>
      <c r="D26" s="16" t="s">
        <v>764</v>
      </c>
      <c r="E26" s="16" t="s">
        <v>765</v>
      </c>
      <c r="F26" s="16" t="s">
        <v>766</v>
      </c>
      <c r="G26" s="16" t="s">
        <v>767</v>
      </c>
      <c r="H26" s="17" t="s">
        <v>50</v>
      </c>
      <c r="I26" s="16" t="s">
        <v>642</v>
      </c>
      <c r="J26" s="16"/>
    </row>
    <row r="27" customFormat="false" ht="105.75" hidden="false" customHeight="true" outlineLevel="0" collapsed="false">
      <c r="A27" s="8" t="s">
        <v>768</v>
      </c>
      <c r="B27" s="16" t="s">
        <v>636</v>
      </c>
      <c r="C27" s="16" t="s">
        <v>769</v>
      </c>
      <c r="D27" s="16" t="s">
        <v>770</v>
      </c>
      <c r="E27" s="16" t="s">
        <v>765</v>
      </c>
      <c r="F27" s="16" t="s">
        <v>771</v>
      </c>
      <c r="G27" s="16" t="s">
        <v>772</v>
      </c>
      <c r="H27" s="17" t="s">
        <v>50</v>
      </c>
      <c r="I27" s="16" t="s">
        <v>642</v>
      </c>
      <c r="J27" s="16"/>
    </row>
  </sheetData>
  <autoFilter ref="A2:J27"/>
  <mergeCells count="1">
    <mergeCell ref="A1:J1"/>
  </mergeCells>
  <dataValidations count="1">
    <dataValidation allowBlank="true" errorStyle="stop" operator="between" showDropDown="false" showErrorMessage="false" showInputMessage="false" sqref="I3:I27" type="list">
      <formula1>"Not Started,Pass,Fail,Blocked,N/A"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4"/>
  </cols>
  <sheetData>
    <row r="1" customFormat="false" ht="17.35" hidden="false" customHeight="false" outlineLevel="0" collapsed="false">
      <c r="A1" s="1" t="s">
        <v>773</v>
      </c>
    </row>
    <row r="3" customFormat="false" ht="15" hidden="false" customHeight="false" outlineLevel="0" collapsed="false">
      <c r="A3" s="5"/>
      <c r="B3" s="23"/>
    </row>
    <row r="4" customFormat="false" ht="15" hidden="false" customHeight="false" outlineLevel="0" collapsed="false">
      <c r="A4" s="4" t="s">
        <v>774</v>
      </c>
      <c r="B4" s="24"/>
    </row>
    <row r="5" customFormat="false" ht="15" hidden="false" customHeight="false" outlineLevel="0" collapsed="false">
      <c r="A5" s="5" t="s">
        <v>775</v>
      </c>
      <c r="B5" s="23" t="s">
        <v>776</v>
      </c>
    </row>
    <row r="6" customFormat="false" ht="15" hidden="false" customHeight="false" outlineLevel="0" collapsed="false">
      <c r="A6" s="5" t="s">
        <v>777</v>
      </c>
      <c r="B6" s="23" t="s">
        <v>778</v>
      </c>
    </row>
    <row r="7" customFormat="false" ht="15" hidden="false" customHeight="false" outlineLevel="0" collapsed="false">
      <c r="A7" s="5" t="s">
        <v>779</v>
      </c>
      <c r="B7" s="23" t="s">
        <v>780</v>
      </c>
    </row>
    <row r="8" customFormat="false" ht="15" hidden="false" customHeight="false" outlineLevel="0" collapsed="false">
      <c r="A8" s="5" t="s">
        <v>781</v>
      </c>
      <c r="B8" s="23" t="s">
        <v>782</v>
      </c>
    </row>
    <row r="9" customFormat="false" ht="15" hidden="false" customHeight="false" outlineLevel="0" collapsed="false">
      <c r="A9" s="5" t="s">
        <v>783</v>
      </c>
      <c r="B9" s="23" t="s">
        <v>784</v>
      </c>
    </row>
    <row r="10" customFormat="false" ht="15" hidden="false" customHeight="false" outlineLevel="0" collapsed="false">
      <c r="A10" s="5" t="s">
        <v>785</v>
      </c>
      <c r="B10" s="23" t="s">
        <v>786</v>
      </c>
    </row>
    <row r="11" customFormat="false" ht="15" hidden="false" customHeight="false" outlineLevel="0" collapsed="false">
      <c r="A11" s="5" t="s">
        <v>787</v>
      </c>
      <c r="B11" s="23" t="s">
        <v>788</v>
      </c>
    </row>
    <row r="12" customFormat="false" ht="15" hidden="false" customHeight="false" outlineLevel="0" collapsed="false">
      <c r="A12" s="5" t="s">
        <v>789</v>
      </c>
      <c r="B12" s="23" t="s">
        <v>790</v>
      </c>
    </row>
    <row r="13" customFormat="false" ht="15" hidden="false" customHeight="false" outlineLevel="0" collapsed="false">
      <c r="A13" s="5" t="s">
        <v>674</v>
      </c>
      <c r="B13" s="23" t="s">
        <v>791</v>
      </c>
    </row>
    <row r="14" customFormat="false" ht="15" hidden="false" customHeight="false" outlineLevel="0" collapsed="false">
      <c r="A14" s="5" t="s">
        <v>792</v>
      </c>
      <c r="B14" s="23" t="s">
        <v>793</v>
      </c>
    </row>
    <row r="15" customFormat="false" ht="15" hidden="false" customHeight="false" outlineLevel="0" collapsed="false">
      <c r="A15" s="5"/>
      <c r="B15" s="23"/>
    </row>
    <row r="16" customFormat="false" ht="15" hidden="false" customHeight="false" outlineLevel="0" collapsed="false">
      <c r="A16" s="4" t="s">
        <v>794</v>
      </c>
      <c r="B16" s="24"/>
    </row>
    <row r="17" customFormat="false" ht="15" hidden="false" customHeight="false" outlineLevel="0" collapsed="false">
      <c r="A17" s="5" t="s">
        <v>680</v>
      </c>
      <c r="B17" s="23" t="s">
        <v>795</v>
      </c>
    </row>
    <row r="18" customFormat="false" ht="15" hidden="false" customHeight="false" outlineLevel="0" collapsed="false">
      <c r="A18" s="5" t="s">
        <v>674</v>
      </c>
      <c r="B18" s="23" t="s">
        <v>796</v>
      </c>
    </row>
    <row r="19" customFormat="false" ht="15" hidden="false" customHeight="false" outlineLevel="0" collapsed="false">
      <c r="A19" s="5" t="s">
        <v>797</v>
      </c>
      <c r="B19" s="23" t="s">
        <v>798</v>
      </c>
    </row>
    <row r="20" customFormat="false" ht="15" hidden="false" customHeight="false" outlineLevel="0" collapsed="false">
      <c r="A20" s="5"/>
      <c r="B20" s="23"/>
    </row>
    <row r="21" customFormat="false" ht="15" hidden="false" customHeight="false" outlineLevel="0" collapsed="false">
      <c r="A21" s="4" t="s">
        <v>799</v>
      </c>
      <c r="B21" s="24"/>
    </row>
    <row r="22" customFormat="false" ht="15" hidden="false" customHeight="false" outlineLevel="0" collapsed="false">
      <c r="A22" s="5" t="s">
        <v>800</v>
      </c>
      <c r="B22" s="23" t="s">
        <v>801</v>
      </c>
    </row>
    <row r="23" customFormat="false" ht="15" hidden="false" customHeight="false" outlineLevel="0" collapsed="false">
      <c r="A23" s="5" t="s">
        <v>802</v>
      </c>
      <c r="B23" s="23" t="s">
        <v>803</v>
      </c>
    </row>
    <row r="24" customFormat="false" ht="15" hidden="false" customHeight="false" outlineLevel="0" collapsed="false">
      <c r="A24" s="5"/>
      <c r="B24" s="23"/>
    </row>
    <row r="25" customFormat="false" ht="15" hidden="false" customHeight="false" outlineLevel="0" collapsed="false">
      <c r="A25" s="4" t="s">
        <v>804</v>
      </c>
      <c r="B25" s="24"/>
    </row>
    <row r="26" customFormat="false" ht="15" hidden="false" customHeight="false" outlineLevel="0" collapsed="false">
      <c r="A26" s="5" t="s">
        <v>59</v>
      </c>
      <c r="B26" s="23" t="s">
        <v>805</v>
      </c>
    </row>
    <row r="27" customFormat="false" ht="15" hidden="false" customHeight="false" outlineLevel="0" collapsed="false">
      <c r="A27" s="5" t="s">
        <v>61</v>
      </c>
      <c r="B27" s="23" t="s">
        <v>806</v>
      </c>
    </row>
    <row r="28" customFormat="false" ht="15" hidden="false" customHeight="false" outlineLevel="0" collapsed="false">
      <c r="A28" s="5" t="s">
        <v>58</v>
      </c>
      <c r="B28" s="23" t="s">
        <v>807</v>
      </c>
    </row>
    <row r="29" customFormat="false" ht="15" hidden="false" customHeight="false" outlineLevel="0" collapsed="false">
      <c r="A29" s="5" t="s">
        <v>808</v>
      </c>
      <c r="B29" s="23" t="s">
        <v>809</v>
      </c>
    </row>
    <row r="30" customFormat="false" ht="15" hidden="false" customHeight="false" outlineLevel="0" collapsed="false">
      <c r="A30" s="5" t="s">
        <v>810</v>
      </c>
      <c r="B30" s="23" t="s">
        <v>811</v>
      </c>
    </row>
    <row r="31" customFormat="false" ht="15" hidden="false" customHeight="false" outlineLevel="0" collapsed="false">
      <c r="A31" s="5"/>
      <c r="B31" s="23"/>
    </row>
    <row r="32" customFormat="false" ht="15" hidden="false" customHeight="false" outlineLevel="0" collapsed="false">
      <c r="A32" s="4" t="s">
        <v>812</v>
      </c>
      <c r="B32" s="24"/>
    </row>
    <row r="33" customFormat="false" ht="15" hidden="false" customHeight="false" outlineLevel="0" collapsed="false">
      <c r="A33" s="5" t="s">
        <v>813</v>
      </c>
      <c r="B33" s="23" t="s">
        <v>814</v>
      </c>
    </row>
    <row r="34" customFormat="false" ht="15" hidden="false" customHeight="false" outlineLevel="0" collapsed="false">
      <c r="A34" s="5" t="s">
        <v>815</v>
      </c>
      <c r="B34" s="23" t="s">
        <v>816</v>
      </c>
    </row>
    <row r="35" customFormat="false" ht="15" hidden="false" customHeight="false" outlineLevel="0" collapsed="false">
      <c r="A35" s="5"/>
      <c r="B35" s="23" t="s">
        <v>817</v>
      </c>
    </row>
    <row r="36" customFormat="false" ht="15" hidden="false" customHeight="false" outlineLevel="0" collapsed="false">
      <c r="A36" s="5"/>
      <c r="B36" s="23" t="s">
        <v>818</v>
      </c>
    </row>
    <row r="37" customFormat="false" ht="15" hidden="false" customHeight="false" outlineLevel="0" collapsed="false">
      <c r="A37" s="5" t="s">
        <v>819</v>
      </c>
      <c r="B37" s="23" t="s">
        <v>820</v>
      </c>
    </row>
    <row r="38" customFormat="false" ht="15" hidden="false" customHeight="false" outlineLevel="0" collapsed="false">
      <c r="A38" s="5"/>
      <c r="B38" s="23" t="s">
        <v>821</v>
      </c>
    </row>
    <row r="39" customFormat="false" ht="15" hidden="false" customHeight="false" outlineLevel="0" collapsed="false">
      <c r="A39" s="5" t="s">
        <v>822</v>
      </c>
      <c r="B39" s="23" t="s">
        <v>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2026-07-27T01:21:15Z</dcterms:created>
  <dc:creator>openpyxl</dc:creator>
  <dc:description/>
  <dc:language>en-US</dc:language>
  <cp:lastModifiedBy/>
  <dcterms:modified xsi:type="dcterms:W3CDTF">2026-07-27T01:21:15Z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